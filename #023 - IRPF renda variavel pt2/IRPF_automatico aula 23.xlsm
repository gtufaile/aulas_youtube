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1-1\Lives\Live #023 - IRPF renda variavel pt2\"/>
    </mc:Choice>
  </mc:AlternateContent>
  <xr:revisionPtr revIDLastSave="0" documentId="13_ncr:1_{2CE82D42-7EB8-41F4-8079-86D2D3B5568C}" xr6:coauthVersionLast="46" xr6:coauthVersionMax="46" xr10:uidLastSave="{00000000-0000-0000-0000-000000000000}"/>
  <bookViews>
    <workbookView xWindow="-120" yWindow="-16320" windowWidth="29040" windowHeight="15990" activeTab="2" xr2:uid="{43CD6BFE-3E41-4CEC-A324-AED65A2F730F}"/>
  </bookViews>
  <sheets>
    <sheet name="Principal" sheetId="1" r:id="rId1"/>
    <sheet name="CEI" sheetId="2" r:id="rId2"/>
    <sheet name="Historico" sheetId="3" r:id="rId3"/>
    <sheet name="CNPJ" sheetId="4" r:id="rId4"/>
  </sheets>
  <definedNames>
    <definedName name="_xlnm._FilterDatabase" localSheetId="1" hidden="1">CEI!$B$11:$L$56</definedName>
    <definedName name="_xlnm._FilterDatabase" localSheetId="3" hidden="1">CNPJ!$A$1:$D$236</definedName>
    <definedName name="_xlnm._FilterDatabase" localSheetId="2" hidden="1">Historico!$A$1:$G$1</definedName>
    <definedName name="rng_cnpj_principal">Principal!$F$12</definedName>
    <definedName name="rng_codigo_cei">CEI!$G$11</definedName>
    <definedName name="rng_codigo_hist">Historico!$C$1</definedName>
    <definedName name="rng_codigo_principal">Principal!$A$12</definedName>
    <definedName name="rng_corretora_cei">CEI!$B$10</definedName>
    <definedName name="rng_corretora_hist">Historico!$G$1</definedName>
    <definedName name="rng_cv_cei">CEI!$D$11</definedName>
    <definedName name="rng_cv_hist">Historico!$B$1</definedName>
    <definedName name="rng_data_cei">CEI!$B$11</definedName>
    <definedName name="rng_data_hist">Historico!$A$1</definedName>
    <definedName name="rng_empresa_principal">Principal!$B$12</definedName>
    <definedName name="rng_pmedio_principal">Principal!$D$12</definedName>
    <definedName name="rng_preco_cei">CEI!$J$11</definedName>
    <definedName name="rng_preco_hist">Historico!$E$1</definedName>
    <definedName name="rng_qntd_cei">CEI!$I$11</definedName>
    <definedName name="rng_qntd_hist">Historico!$D$1</definedName>
    <definedName name="rng_qntd_principal">Principal!$C$12</definedName>
    <definedName name="rng_resumo_limpar">Principal!$A$13:$F$1048576</definedName>
    <definedName name="rng_texto_principal">Principal!$G$12</definedName>
    <definedName name="rng_todos_codigos_principal">Principal!$A$13:$A$1048576</definedName>
    <definedName name="rng_total_cei">CEI!$K$11</definedName>
    <definedName name="rng_total_hist">Historico!$F$1</definedName>
    <definedName name="rng_total_principal">Principal!$E$12</definedName>
  </definedNames>
  <calcPr calcId="191029" calcMode="manual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" i="1" l="1"/>
  <c r="D26" i="1"/>
  <c r="C26" i="1"/>
  <c r="E26" i="1" s="1"/>
  <c r="G26" i="1" s="1"/>
  <c r="B26" i="1"/>
  <c r="F25" i="1"/>
  <c r="D25" i="1"/>
  <c r="E25" i="1" s="1"/>
  <c r="C25" i="1"/>
  <c r="G25" i="1" s="1"/>
  <c r="B25" i="1"/>
  <c r="G24" i="1"/>
  <c r="F24" i="1"/>
  <c r="E24" i="1"/>
  <c r="D24" i="1"/>
  <c r="C24" i="1"/>
  <c r="B24" i="1"/>
  <c r="F23" i="1"/>
  <c r="E23" i="1"/>
  <c r="D23" i="1"/>
  <c r="C23" i="1"/>
  <c r="G23" i="1" s="1"/>
  <c r="B23" i="1"/>
  <c r="F22" i="1"/>
  <c r="D22" i="1"/>
  <c r="C22" i="1"/>
  <c r="B22" i="1"/>
  <c r="F21" i="1"/>
  <c r="D21" i="1"/>
  <c r="C21" i="1"/>
  <c r="E21" i="1" s="1"/>
  <c r="B21" i="1"/>
  <c r="F20" i="1"/>
  <c r="E20" i="1"/>
  <c r="D20" i="1"/>
  <c r="G20" i="1" s="1"/>
  <c r="C20" i="1"/>
  <c r="B20" i="1"/>
  <c r="F19" i="1"/>
  <c r="D19" i="1"/>
  <c r="C19" i="1"/>
  <c r="B19" i="1"/>
  <c r="F18" i="1"/>
  <c r="D18" i="1"/>
  <c r="C18" i="1"/>
  <c r="B18" i="1"/>
  <c r="F17" i="1"/>
  <c r="D17" i="1"/>
  <c r="C17" i="1"/>
  <c r="E17" i="1" s="1"/>
  <c r="G17" i="1" s="1"/>
  <c r="B17" i="1"/>
  <c r="G16" i="1"/>
  <c r="F16" i="1"/>
  <c r="E16" i="1"/>
  <c r="D16" i="1"/>
  <c r="C16" i="1"/>
  <c r="B16" i="1"/>
  <c r="F15" i="1"/>
  <c r="D15" i="1"/>
  <c r="C15" i="1"/>
  <c r="B15" i="1"/>
  <c r="F14" i="1"/>
  <c r="D14" i="1"/>
  <c r="C14" i="1"/>
  <c r="B14" i="1"/>
  <c r="F13" i="1"/>
  <c r="D13" i="1"/>
  <c r="C13" i="1"/>
  <c r="E13" i="1" s="1"/>
  <c r="G13" i="1" s="1"/>
  <c r="B13" i="1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G15" i="1" l="1"/>
  <c r="G21" i="1"/>
  <c r="E15" i="1"/>
  <c r="E19" i="1"/>
  <c r="G19" i="1" s="1"/>
  <c r="E14" i="1"/>
  <c r="G14" i="1" s="1"/>
  <c r="E18" i="1"/>
  <c r="G18" i="1" s="1"/>
  <c r="E22" i="1"/>
  <c r="G22" i="1" s="1"/>
</calcChain>
</file>

<file path=xl/sharedStrings.xml><?xml version="1.0" encoding="utf-8"?>
<sst xmlns="http://schemas.openxmlformats.org/spreadsheetml/2006/main" count="1095" uniqueCount="793">
  <si>
    <t>Período de</t>
  </si>
  <si>
    <t>Emissão</t>
  </si>
  <si>
    <t>01/01/2020 a 31/12/2020</t>
  </si>
  <si>
    <t>02/03/2021</t>
  </si>
  <si>
    <t>Nome do Cliente</t>
  </si>
  <si>
    <t>Participante de Negociação / Cliente</t>
  </si>
  <si>
    <t>GUSTAVO TUFAILE</t>
  </si>
  <si>
    <t>XXXXX</t>
  </si>
  <si>
    <t>Código / Nome da Instituição Intermediadora</t>
  </si>
  <si>
    <t>Corretora_X</t>
  </si>
  <si>
    <t>Data Negócio</t>
  </si>
  <si>
    <t>C/V</t>
  </si>
  <si>
    <t>Mercado</t>
  </si>
  <si>
    <t>Prazo</t>
  </si>
  <si>
    <t>Código</t>
  </si>
  <si>
    <t>Especificação do Ativo</t>
  </si>
  <si>
    <t>Quantidade</t>
  </si>
  <si>
    <t>Preço (R$)</t>
  </si>
  <si>
    <t>Valor Total (R$)</t>
  </si>
  <si>
    <t xml:space="preserve">   06/01/20</t>
  </si>
  <si>
    <t xml:space="preserve">C                 </t>
  </si>
  <si>
    <t xml:space="preserve">Merc. Fracionário   </t>
  </si>
  <si>
    <t>B3SA3F</t>
  </si>
  <si>
    <t>B3           ON  EDJ NM</t>
  </si>
  <si>
    <t xml:space="preserve">   24/01/20</t>
  </si>
  <si>
    <t xml:space="preserve">Mercado a Vista     </t>
  </si>
  <si>
    <t>HGLG11</t>
  </si>
  <si>
    <t>FII CSHG LOG CI</t>
  </si>
  <si>
    <t xml:space="preserve">   26/02/20</t>
  </si>
  <si>
    <t>BPAC11F</t>
  </si>
  <si>
    <t>BTGP BANCO   UNT     N2</t>
  </si>
  <si>
    <t xml:space="preserve">   28/02/20</t>
  </si>
  <si>
    <t xml:space="preserve">   11/03/20</t>
  </si>
  <si>
    <t xml:space="preserve">V                 </t>
  </si>
  <si>
    <t>OIBR3</t>
  </si>
  <si>
    <t>OI           ON      N1</t>
  </si>
  <si>
    <t xml:space="preserve">   13/03/20</t>
  </si>
  <si>
    <t>BRCR11</t>
  </si>
  <si>
    <t>FII BC FUND  CI  ER</t>
  </si>
  <si>
    <t>ITSA4</t>
  </si>
  <si>
    <t>ITAUSA       PN      N1</t>
  </si>
  <si>
    <t>IVVB11</t>
  </si>
  <si>
    <t>ISHARE SP500 CI</t>
  </si>
  <si>
    <t>PETR4</t>
  </si>
  <si>
    <t>PETROBRAS    PN      N2</t>
  </si>
  <si>
    <t xml:space="preserve">   03/04/20</t>
  </si>
  <si>
    <t>BBAS3</t>
  </si>
  <si>
    <t>BRASIL       ON      NM</t>
  </si>
  <si>
    <t xml:space="preserve">   14/04/20</t>
  </si>
  <si>
    <t xml:space="preserve">   17/04/20</t>
  </si>
  <si>
    <t>TCSA3</t>
  </si>
  <si>
    <t>TECNISA      ON      NM</t>
  </si>
  <si>
    <t xml:space="preserve">   18/06/20</t>
  </si>
  <si>
    <t>MDIA3</t>
  </si>
  <si>
    <t>M.DIASBRANCO ON      NM</t>
  </si>
  <si>
    <t>MDIA3F</t>
  </si>
  <si>
    <t xml:space="preserve">   19/06/20</t>
  </si>
  <si>
    <t xml:space="preserve">   23/06/20</t>
  </si>
  <si>
    <t xml:space="preserve">   01/07/20</t>
  </si>
  <si>
    <t>B3SA3</t>
  </si>
  <si>
    <t>B3           ON  EJ  NM</t>
  </si>
  <si>
    <t xml:space="preserve">   06/07/20</t>
  </si>
  <si>
    <t xml:space="preserve">   07/07/20</t>
  </si>
  <si>
    <t>XPLG11</t>
  </si>
  <si>
    <t>FII XP LOG   CI  ER</t>
  </si>
  <si>
    <t xml:space="preserve">   15/07/20</t>
  </si>
  <si>
    <t>RBVA11</t>
  </si>
  <si>
    <t>FII RIOB VA  CI</t>
  </si>
  <si>
    <t xml:space="preserve">   22/07/20</t>
  </si>
  <si>
    <t>FLRY3</t>
  </si>
  <si>
    <t>FLEURY       ON      NM</t>
  </si>
  <si>
    <t xml:space="preserve">   11/08/20</t>
  </si>
  <si>
    <t xml:space="preserve">   01/09/20</t>
  </si>
  <si>
    <t xml:space="preserve">   30/09/20</t>
  </si>
  <si>
    <t xml:space="preserve">   09/11/20</t>
  </si>
  <si>
    <t xml:space="preserve">   24/11/20</t>
  </si>
  <si>
    <t>BRASIL       ON  EJ  NM</t>
  </si>
  <si>
    <t xml:space="preserve">   01/12/20</t>
  </si>
  <si>
    <t>ITAUSA       PN  ED  N1</t>
  </si>
  <si>
    <t>Subreports within table/matrix cells are ignored.</t>
  </si>
  <si>
    <t>Notas: (*) Preço por lote de mil ações
            (#) Negócio em que a Corretora ou pessoa a ela vinculada atuou como contraparte
            (ß) POP - Proteção do Investimento com Participação
            (N1) Cia. Nível 1
            (N2) Cia. Nível 2
            (NM) Cia. Novo Mercado
            (R) Negócio realizado para atender Ordem de Recompra
Eventuais dúvidas acerca dos dados constantes deste aviso deverão ser formuladas diretamente à instituição em que o cliente está cadastrado, no prazo de 7 (sete) dias a contar da data do recebimento deste aviso. Caso as dúvidas não sejam devidamente esclarecidas, favor entrar em contato com o Serviço de Atendimento ao Público da BM&amp;FBOVESPA através do telefone (11) 3272-7373.</t>
  </si>
  <si>
    <t>CNPJ</t>
  </si>
  <si>
    <t>09.346.601/0001-25</t>
  </si>
  <si>
    <t>BANCO BMG</t>
  </si>
  <si>
    <t>61.186.680/0001-74</t>
  </si>
  <si>
    <t>BANCO INTER</t>
  </si>
  <si>
    <t>00.416.968/0001-01</t>
  </si>
  <si>
    <t>Empresa</t>
  </si>
  <si>
    <t>AALR3</t>
  </si>
  <si>
    <t>CENTRO DE IMAGEM DIAGNOSTICOS</t>
  </si>
  <si>
    <t>42.771.949/0001-35</t>
  </si>
  <si>
    <t>ABCB4</t>
  </si>
  <si>
    <t>BANCO ABC BRASIL</t>
  </si>
  <si>
    <t>28.195.667/0001-06</t>
  </si>
  <si>
    <t>ABEV3</t>
  </si>
  <si>
    <t>AMBEV</t>
  </si>
  <si>
    <t>07.526.557/0001-00</t>
  </si>
  <si>
    <t>AERI3</t>
  </si>
  <si>
    <t>AERIS</t>
  </si>
  <si>
    <t>12.528.708/0001-07</t>
  </si>
  <si>
    <t>AGRO3</t>
  </si>
  <si>
    <t>BRASILAGRO</t>
  </si>
  <si>
    <t>07.628.528/0001-59</t>
  </si>
  <si>
    <t>ALPARGATAS</t>
  </si>
  <si>
    <t>61.079.117/0001-05</t>
  </si>
  <si>
    <t>ALPK3</t>
  </si>
  <si>
    <t>ESTAPAR</t>
  </si>
  <si>
    <t>60.537.263/0001-66</t>
  </si>
  <si>
    <t>ALUPAR INVESTIMENTO</t>
  </si>
  <si>
    <t>08.364.948/0001-38</t>
  </si>
  <si>
    <t>AMAR3</t>
  </si>
  <si>
    <t>LOJAS MARISA</t>
  </si>
  <si>
    <t>61.189.288/0001-89</t>
  </si>
  <si>
    <t>AMBP3</t>
  </si>
  <si>
    <t>AMBIPAR</t>
  </si>
  <si>
    <t>12.648.266/0001-24</t>
  </si>
  <si>
    <t>ANIM3</t>
  </si>
  <si>
    <t>ANIMA HOLDING</t>
  </si>
  <si>
    <t>09.288.252/0001-32</t>
  </si>
  <si>
    <t>ARZZ3</t>
  </si>
  <si>
    <t>AREZZO INDÚSTRIA E COMÉRCIO</t>
  </si>
  <si>
    <t>16.590.234/0001-76</t>
  </si>
  <si>
    <t>ATOM3</t>
  </si>
  <si>
    <t>ATOM</t>
  </si>
  <si>
    <t>00.359.742/0001-08</t>
  </si>
  <si>
    <t>AVLL3</t>
  </si>
  <si>
    <t>ALPHAVILLE</t>
  </si>
  <si>
    <t>16.811.931/0001-00</t>
  </si>
  <si>
    <t>AZUL4</t>
  </si>
  <si>
    <t>AZUL</t>
  </si>
  <si>
    <t>09.305.994/0001-29</t>
  </si>
  <si>
    <t>B3 – BRASIL – BOLSA – BALCÃO</t>
  </si>
  <si>
    <t>EXCELSIOR ALIMENTOS</t>
  </si>
  <si>
    <t>95.426.862/0001-97</t>
  </si>
  <si>
    <t>BANCO DO BRASIL</t>
  </si>
  <si>
    <t>00.000.000/0001-91</t>
  </si>
  <si>
    <t>BANCO BRADESCO</t>
  </si>
  <si>
    <t>60.746.948/0001-12</t>
  </si>
  <si>
    <t>BBRK3</t>
  </si>
  <si>
    <t>BRASIL BROKERS</t>
  </si>
  <si>
    <t>08.613.550/0001-98</t>
  </si>
  <si>
    <t>BBSE3</t>
  </si>
  <si>
    <t>BB SEGURIDADE</t>
  </si>
  <si>
    <t>17.344.597/0001-94</t>
  </si>
  <si>
    <t>BEEF3</t>
  </si>
  <si>
    <t>MINERVA</t>
  </si>
  <si>
    <t>67.620.377/0001-14</t>
  </si>
  <si>
    <t>BOAS3</t>
  </si>
  <si>
    <t>BOA VISTA</t>
  </si>
  <si>
    <t>11.725.176/0001-27</t>
  </si>
  <si>
    <t>BOMBRIL</t>
  </si>
  <si>
    <t>50.564.053/0001-03</t>
  </si>
  <si>
    <t>BANCO BTG PACTUAL</t>
  </si>
  <si>
    <t>30.306.294/0001-45</t>
  </si>
  <si>
    <t>BPAN4</t>
  </si>
  <si>
    <t>BANCO PAN</t>
  </si>
  <si>
    <t>59.285.411/0001-13</t>
  </si>
  <si>
    <t>BRADESPAR</t>
  </si>
  <si>
    <t>03.847.461/0001-92</t>
  </si>
  <si>
    <t>BRDT3</t>
  </si>
  <si>
    <t>BR DISTRIBUIDORA</t>
  </si>
  <si>
    <t>34.274.233/0001-02</t>
  </si>
  <si>
    <t>BRFS3</t>
  </si>
  <si>
    <t>BRF</t>
  </si>
  <si>
    <t>01.838.723/0001-27</t>
  </si>
  <si>
    <t>BRASKEM</t>
  </si>
  <si>
    <t>42.150.391/0001-70</t>
  </si>
  <si>
    <t>BRML3</t>
  </si>
  <si>
    <t>BR MALLS PARTICIPACOES</t>
  </si>
  <si>
    <t>06.977.745/0001-91</t>
  </si>
  <si>
    <t>BRPR3</t>
  </si>
  <si>
    <t>BR PROPERTIES</t>
  </si>
  <si>
    <t>06.977.751/0001-49</t>
  </si>
  <si>
    <t>BMGB4</t>
  </si>
  <si>
    <t>BANRISUL</t>
  </si>
  <si>
    <t>92.702.067/0001-96</t>
  </si>
  <si>
    <t>BSEV3</t>
  </si>
  <si>
    <t>BIOSEV</t>
  </si>
  <si>
    <t>15.527.906/0001-36</t>
  </si>
  <si>
    <t>BTOW3</t>
  </si>
  <si>
    <t>B2W – COMPANHIA DIGITAL</t>
  </si>
  <si>
    <t>00.776.574/0001-56</t>
  </si>
  <si>
    <t>CAML3</t>
  </si>
  <si>
    <t>CAMIL ALIMENTOS</t>
  </si>
  <si>
    <t>64.904.295/0001-03</t>
  </si>
  <si>
    <t>CARD3</t>
  </si>
  <si>
    <t>CSU CARDSYSTEM</t>
  </si>
  <si>
    <t>01.896.779/0001-38</t>
  </si>
  <si>
    <t>CASH3</t>
  </si>
  <si>
    <t>MÉLIUZ</t>
  </si>
  <si>
    <t>14.110.585/0001-07</t>
  </si>
  <si>
    <t>CCRO3</t>
  </si>
  <si>
    <t>CCR</t>
  </si>
  <si>
    <t>02.846.056/0001-97</t>
  </si>
  <si>
    <t>CCPR3</t>
  </si>
  <si>
    <t>CYRELA COMMERCIAL PROPERTIES</t>
  </si>
  <si>
    <t>08.801.621/0001-86</t>
  </si>
  <si>
    <t>CEAB3</t>
  </si>
  <si>
    <t>C&amp;A MODAS</t>
  </si>
  <si>
    <t>45.242.914/0001-05</t>
  </si>
  <si>
    <t>CIA ENERGETICA DE PERNAMBUCO – CELPE</t>
  </si>
  <si>
    <t>10.835.932/0001-08</t>
  </si>
  <si>
    <t>CIA ENERGETICA DE SAO PAULO – CESP</t>
  </si>
  <si>
    <t>60.933.603/0001-78</t>
  </si>
  <si>
    <t>CIA GAS DE SAO PAULO – COMGAS</t>
  </si>
  <si>
    <t>61.856.571/0001-17</t>
  </si>
  <si>
    <t>GRAZZIOTIN</t>
  </si>
  <si>
    <t>92.012.467/0001-70</t>
  </si>
  <si>
    <t>CIEL3</t>
  </si>
  <si>
    <t>CIELO</t>
  </si>
  <si>
    <t>01.027.058/0001-91</t>
  </si>
  <si>
    <t>CIA ENERGETICA DE MINAS GERAIS – CEMIG</t>
  </si>
  <si>
    <t>17.155.730/0001-64</t>
  </si>
  <si>
    <t>CNTO3</t>
  </si>
  <si>
    <t>CENTAURO</t>
  </si>
  <si>
    <t>13.217.485/0001-11</t>
  </si>
  <si>
    <t>CIA ENERGETICA DO CEARA – COELCE</t>
  </si>
  <si>
    <t>07.047.251/0001-70</t>
  </si>
  <si>
    <t>CPFE3</t>
  </si>
  <si>
    <t>CPFL ENERGIA</t>
  </si>
  <si>
    <t>02.429.144/0001-93</t>
  </si>
  <si>
    <t>CREM3</t>
  </si>
  <si>
    <t>CREMER</t>
  </si>
  <si>
    <t>82.641.325/0001-18</t>
  </si>
  <si>
    <t>CRFB3</t>
  </si>
  <si>
    <t>ATACADÃO</t>
  </si>
  <si>
    <t>75.315.333/0001-09</t>
  </si>
  <si>
    <t>CSAN3</t>
  </si>
  <si>
    <t>COSAN</t>
  </si>
  <si>
    <t>50.746.577/0001-15</t>
  </si>
  <si>
    <t>CSMG3</t>
  </si>
  <si>
    <t>CIA SANEAMENTO DE MINAS GERAIS – COPASA</t>
  </si>
  <si>
    <t>17.281.106/0001-03</t>
  </si>
  <si>
    <t>CSNA3</t>
  </si>
  <si>
    <t>CIA SIDERURGICA NACIONAL</t>
  </si>
  <si>
    <t>33.042.730/0001-04</t>
  </si>
  <si>
    <t>COGN3</t>
  </si>
  <si>
    <t>COGNA EDUCAÇÃO</t>
  </si>
  <si>
    <t>02.800.026/0001-40</t>
  </si>
  <si>
    <t>KARSTEN</t>
  </si>
  <si>
    <t>82.640.558/0001-04</t>
  </si>
  <si>
    <t>CIA TECIDOS NORTE DE MINAS COTEMINAS</t>
  </si>
  <si>
    <t>22.677.520/0001-76</t>
  </si>
  <si>
    <t>CURY3</t>
  </si>
  <si>
    <t>CURY</t>
  </si>
  <si>
    <t>08.797.760/0001-83</t>
  </si>
  <si>
    <t>CVCB3</t>
  </si>
  <si>
    <t>CVC BRASIL OPERADORA E AGÊNCIA DE VIAGENS</t>
  </si>
  <si>
    <t>10.760.260/0001-19</t>
  </si>
  <si>
    <t>CYRE3</t>
  </si>
  <si>
    <t>CYRELA BRAZIL REALTYEMPREEND E PART</t>
  </si>
  <si>
    <t>73.178.600/0001-18</t>
  </si>
  <si>
    <t>DAGB33</t>
  </si>
  <si>
    <t>DUFRY A.G.</t>
  </si>
  <si>
    <t>11.423.623/0001-93</t>
  </si>
  <si>
    <t>DIRR3</t>
  </si>
  <si>
    <t>DIRECIONAL ENGENHARIA</t>
  </si>
  <si>
    <t>16.614.075/0001-00</t>
  </si>
  <si>
    <t>DMMO3</t>
  </si>
  <si>
    <t>DOMMO</t>
  </si>
  <si>
    <t>08.926.302/0001-05</t>
  </si>
  <si>
    <t>DMVF3</t>
  </si>
  <si>
    <t>D1000</t>
  </si>
  <si>
    <t>12.108.897/0001-50</t>
  </si>
  <si>
    <t>DTEX3</t>
  </si>
  <si>
    <t>DURATEX</t>
  </si>
  <si>
    <t>97.837.181/0001-47</t>
  </si>
  <si>
    <t>ECOR3</t>
  </si>
  <si>
    <t>ECORODOVIAS INFRAESTRUTURA E LOGÍSTICA</t>
  </si>
  <si>
    <t>04.149.454/0001-80</t>
  </si>
  <si>
    <t>EGIE3</t>
  </si>
  <si>
    <t>ENGIE BRASIL ENERGIA</t>
  </si>
  <si>
    <t>02.474.103/0001-19</t>
  </si>
  <si>
    <t>ELEKEIROZ</t>
  </si>
  <si>
    <t>13.788.120/0001-47</t>
  </si>
  <si>
    <t>ELPL3</t>
  </si>
  <si>
    <t>ELETROPAULO</t>
  </si>
  <si>
    <t>61.695.227/0001-93</t>
  </si>
  <si>
    <t>ELETROBRAS</t>
  </si>
  <si>
    <t>00.001.180/0001-26</t>
  </si>
  <si>
    <t>EMBR3</t>
  </si>
  <si>
    <t>EMBRAER</t>
  </si>
  <si>
    <t>07.689.002/0001-89</t>
  </si>
  <si>
    <t>ENAT3</t>
  </si>
  <si>
    <t>ENAUTA PARTICIPAÇÕES</t>
  </si>
  <si>
    <t>11.669.021/0001-10</t>
  </si>
  <si>
    <t>ENBR3</t>
  </si>
  <si>
    <t>EDP – ENERGIAS DO BRASIL</t>
  </si>
  <si>
    <t>03.983.431/0001-03</t>
  </si>
  <si>
    <t>ENEV3</t>
  </si>
  <si>
    <t>ENEVA</t>
  </si>
  <si>
    <t>04.423.567/0001-21</t>
  </si>
  <si>
    <t>ENERGISA</t>
  </si>
  <si>
    <t>00.864.214/0001-06</t>
  </si>
  <si>
    <t>ENJU3</t>
  </si>
  <si>
    <t>ENJOEI</t>
  </si>
  <si>
    <t>16.922.038/0001-51</t>
  </si>
  <si>
    <t>EQTL3</t>
  </si>
  <si>
    <t>EQUATORIAL ENERGIA</t>
  </si>
  <si>
    <t>03.220.438/0001-73</t>
  </si>
  <si>
    <t>MANUFATURA DE BRINQUEDOS ESTRELA</t>
  </si>
  <si>
    <t>61.082.004/0001-50</t>
  </si>
  <si>
    <t>ETER3</t>
  </si>
  <si>
    <t>ETERNIT</t>
  </si>
  <si>
    <t>61.092.037/0001-81</t>
  </si>
  <si>
    <t>EUCATEX</t>
  </si>
  <si>
    <t>56.643.018/0001-66</t>
  </si>
  <si>
    <t>EVEN3</t>
  </si>
  <si>
    <t>EVEN CONSTRUTORA E INCORPORADORA</t>
  </si>
  <si>
    <t>43.470.988/0001-65</t>
  </si>
  <si>
    <t>EZTC3</t>
  </si>
  <si>
    <t>EZ TEC</t>
  </si>
  <si>
    <t>08.312.229/0001-73</t>
  </si>
  <si>
    <t>CIA FERRO LIGAS DA BAHIA – FERBASA</t>
  </si>
  <si>
    <t>15.141.799/0001-03</t>
  </si>
  <si>
    <t>FHER3</t>
  </si>
  <si>
    <t>FERTILIZANTES HERINGER</t>
  </si>
  <si>
    <t>22.266.175/0001-88</t>
  </si>
  <si>
    <t>FLEURY</t>
  </si>
  <si>
    <t>60.840.055/0001-31</t>
  </si>
  <si>
    <t>FRAS3</t>
  </si>
  <si>
    <t>FRAS-LE</t>
  </si>
  <si>
    <t>88.610.126/0001-29</t>
  </si>
  <si>
    <t>FRIO3</t>
  </si>
  <si>
    <t>METALFRIO SOLUTIONS</t>
  </si>
  <si>
    <t>04.821.041/0001-08</t>
  </si>
  <si>
    <t>RIO PARANAPANEMA ENERGIA</t>
  </si>
  <si>
    <t>02.998.301/0001-81</t>
  </si>
  <si>
    <t>GFSA3</t>
  </si>
  <si>
    <t>GAFISA</t>
  </si>
  <si>
    <t>01.545.826/0001-07</t>
  </si>
  <si>
    <t>GERDAU</t>
  </si>
  <si>
    <t>33.611.500/0001-19</t>
  </si>
  <si>
    <t>GMAT3</t>
  </si>
  <si>
    <t>GRUPO MATEUS</t>
  </si>
  <si>
    <t>24.990.777/0001-09</t>
  </si>
  <si>
    <t>GNDI3</t>
  </si>
  <si>
    <t>NOTRE DAME INTERMÉDICA</t>
  </si>
  <si>
    <t>19.853.511/0001-84</t>
  </si>
  <si>
    <t>METALURGICA GERDAU</t>
  </si>
  <si>
    <t>92.690.783/0001-09</t>
  </si>
  <si>
    <t>GOLL4</t>
  </si>
  <si>
    <t>GOL LINHAS AEREAS INTELIGENTES</t>
  </si>
  <si>
    <t>06.164.253/0001-87</t>
  </si>
  <si>
    <t>GRND3</t>
  </si>
  <si>
    <t>GRENDENE</t>
  </si>
  <si>
    <t>89.850.341/0001-60</t>
  </si>
  <si>
    <t>GSHP3</t>
  </si>
  <si>
    <t>GENERAL SHOPPING BRASIL</t>
  </si>
  <si>
    <t>08.764.621/0001-53</t>
  </si>
  <si>
    <t>GUARARAPES CONFECCOES</t>
  </si>
  <si>
    <t>08.402.943/0001-52</t>
  </si>
  <si>
    <t>HAPV3</t>
  </si>
  <si>
    <t>HAPVIDA</t>
  </si>
  <si>
    <t>63.554.067/0001-98</t>
  </si>
  <si>
    <t>HBOR3</t>
  </si>
  <si>
    <t>HELBOR EMPREENDIMENTOS</t>
  </si>
  <si>
    <t>49.263.189/0001-02</t>
  </si>
  <si>
    <t>HBSA3</t>
  </si>
  <si>
    <t>HIDROVIAS DO BRASIL</t>
  </si>
  <si>
    <t>12.648.327/0001-53</t>
  </si>
  <si>
    <t>HGTX3</t>
  </si>
  <si>
    <t>HERING</t>
  </si>
  <si>
    <t>78.876.950/0001-71</t>
  </si>
  <si>
    <t>HYPE3</t>
  </si>
  <si>
    <t>HYPERA PHARMA</t>
  </si>
  <si>
    <t>02.932.074/0001-91</t>
  </si>
  <si>
    <t>HOTEIS OTHON</t>
  </si>
  <si>
    <t>33.200.049/0001-47</t>
  </si>
  <si>
    <t>IDNT3</t>
  </si>
  <si>
    <t>IDEIASNET</t>
  </si>
  <si>
    <t>02.365.069/0001-44</t>
  </si>
  <si>
    <t>IGTA3</t>
  </si>
  <si>
    <t>IGUATEMI EMPRESA DE SHOPPING CENTERS</t>
  </si>
  <si>
    <t>51.218.147/0001-93</t>
  </si>
  <si>
    <t>IRBR3</t>
  </si>
  <si>
    <t>IRB – BRASIL RESSEGUROS</t>
  </si>
  <si>
    <t>33.376.989/0001-91</t>
  </si>
  <si>
    <t>ITAUSA INVESTIMENTOS</t>
  </si>
  <si>
    <t>61.532.644/0001-15</t>
  </si>
  <si>
    <t>ITAU UNIBANCO HOLDING</t>
  </si>
  <si>
    <t>60.872.504/0001-23</t>
  </si>
  <si>
    <t>JBSS3</t>
  </si>
  <si>
    <t>JBS</t>
  </si>
  <si>
    <t>02.916.265/0001-60</t>
  </si>
  <si>
    <t>JHSF3</t>
  </si>
  <si>
    <t>JHSF PARTICIPACOES</t>
  </si>
  <si>
    <t>08.294.224/0001-65</t>
  </si>
  <si>
    <t>JSLG3</t>
  </si>
  <si>
    <t>JSL</t>
  </si>
  <si>
    <t>52.548.435/0001-79</t>
  </si>
  <si>
    <t>KEPL3</t>
  </si>
  <si>
    <t>KEPLER WEBER</t>
  </si>
  <si>
    <t>91.983.056/0001-69</t>
  </si>
  <si>
    <t>KLABIN</t>
  </si>
  <si>
    <t>89.637.490/0001-45</t>
  </si>
  <si>
    <t>LOJAS AMERICANAS</t>
  </si>
  <si>
    <t>33.014.556/0001-96</t>
  </si>
  <si>
    <t>LAVV3</t>
  </si>
  <si>
    <t>LAVVI</t>
  </si>
  <si>
    <t>26.462.693/0001-28</t>
  </si>
  <si>
    <t>LCAM3</t>
  </si>
  <si>
    <t>CIA LOCAÇÃO DAS AMÉRICAS</t>
  </si>
  <si>
    <t>10.215.988/0001-60</t>
  </si>
  <si>
    <t>LEVE3</t>
  </si>
  <si>
    <t>MAHLE-METAL LEVE</t>
  </si>
  <si>
    <t>60.476.884/0001-87</t>
  </si>
  <si>
    <t>LIGT3</t>
  </si>
  <si>
    <t>LIGHT</t>
  </si>
  <si>
    <t>03.378.521/0001-75</t>
  </si>
  <si>
    <t>LINX3</t>
  </si>
  <si>
    <t>LINX</t>
  </si>
  <si>
    <t>06.948.969/0001-75</t>
  </si>
  <si>
    <t>LLIS3</t>
  </si>
  <si>
    <t>RESTOQUE COMÉRCIO E CONFECÇÕES DE ROUPAS</t>
  </si>
  <si>
    <t>49.669.856/0001-43</t>
  </si>
  <si>
    <t>LOGG3</t>
  </si>
  <si>
    <t>LOG COMMERCIAL PROPERTIES</t>
  </si>
  <si>
    <t>09.041.168/0001-10</t>
  </si>
  <si>
    <t>LJQQ3</t>
  </si>
  <si>
    <t>QUERO-QUERO</t>
  </si>
  <si>
    <t>96.418.264/0218-02</t>
  </si>
  <si>
    <t>LOGN3</t>
  </si>
  <si>
    <t>LOG-IN LOGISTICA INTERMODAL</t>
  </si>
  <si>
    <t>42.278.291/0001-24</t>
  </si>
  <si>
    <t>LPSB3</t>
  </si>
  <si>
    <t>LPS BRASIL – CONSULTORIA DE IMOVEIS</t>
  </si>
  <si>
    <t>08.078.847/0001-09</t>
  </si>
  <si>
    <t>LREN3</t>
  </si>
  <si>
    <t>LOJAS RENNER</t>
  </si>
  <si>
    <t>92.754.738/0001-62</t>
  </si>
  <si>
    <t>LWSA3</t>
  </si>
  <si>
    <t>LOCAWEB</t>
  </si>
  <si>
    <t>02.351.877/0001-52</t>
  </si>
  <si>
    <t>LUPA3</t>
  </si>
  <si>
    <t>LUPATECH</t>
  </si>
  <si>
    <t>89.463.822/0001-12</t>
  </si>
  <si>
    <t>MAGG3</t>
  </si>
  <si>
    <t>MAGNESITA REFRATARIOS</t>
  </si>
  <si>
    <t>08.684.547/0001-65</t>
  </si>
  <si>
    <t>M.DIAS BRANCO IND COM DE ALIMENTOS</t>
  </si>
  <si>
    <t>07.206.816/0001-15</t>
  </si>
  <si>
    <t>MDNE3</t>
  </si>
  <si>
    <t>MOURA DUBEUX</t>
  </si>
  <si>
    <t>12.049.631/0001-84</t>
  </si>
  <si>
    <t>MELK3</t>
  </si>
  <si>
    <t>MELNICK EVEN</t>
  </si>
  <si>
    <t>12.181.987/0001-77</t>
  </si>
  <si>
    <t>MGLU3</t>
  </si>
  <si>
    <t>MAGAZINE LUIZA</t>
  </si>
  <si>
    <t>47.960.950/0001-21</t>
  </si>
  <si>
    <t>MILS3</t>
  </si>
  <si>
    <t>MILLS ESTRUTURAS E SERVIÇOS DE ENGENHARIA</t>
  </si>
  <si>
    <t>27.093.558/0001-15</t>
  </si>
  <si>
    <t>MTRE3</t>
  </si>
  <si>
    <t>MITRE REALTY</t>
  </si>
  <si>
    <t>07.882.930/0001-65</t>
  </si>
  <si>
    <t>MMXM3</t>
  </si>
  <si>
    <t>MMX MINERACAO E METALICOS</t>
  </si>
  <si>
    <t>02.762.115/0001-49</t>
  </si>
  <si>
    <t>MNDL3</t>
  </si>
  <si>
    <t>MUNDIAL – PRODUTOS DE CONSUMO</t>
  </si>
  <si>
    <t>88.610.191/0001-54</t>
  </si>
  <si>
    <t>MOVI3</t>
  </si>
  <si>
    <t>MOVIDA</t>
  </si>
  <si>
    <t>21.314.559/0001-66</t>
  </si>
  <si>
    <t>MPLU3</t>
  </si>
  <si>
    <t>MULTIPLUS</t>
  </si>
  <si>
    <t>11.094.546/0001-75</t>
  </si>
  <si>
    <t>MRFG3</t>
  </si>
  <si>
    <t>MARFRIG GLOBAL FOODS</t>
  </si>
  <si>
    <t>03.853.896/0001-40</t>
  </si>
  <si>
    <t>MRVE3</t>
  </si>
  <si>
    <t>MRV ENGENHARIA</t>
  </si>
  <si>
    <t>08.343.492/0001-20</t>
  </si>
  <si>
    <t>MITRE</t>
  </si>
  <si>
    <t>MULT3</t>
  </si>
  <si>
    <t>MULTIPLAN</t>
  </si>
  <si>
    <t>07.816.890/0001-53</t>
  </si>
  <si>
    <t>MYPK3</t>
  </si>
  <si>
    <t>IOCHPE MAXION</t>
  </si>
  <si>
    <t>61.156.113/0001-75</t>
  </si>
  <si>
    <t>NADIR FIGUEIREDO</t>
  </si>
  <si>
    <t>61.067.161/0001-97</t>
  </si>
  <si>
    <t>NEOE3</t>
  </si>
  <si>
    <t>NEOENERGIA</t>
  </si>
  <si>
    <t>01.083.200/0001-18</t>
  </si>
  <si>
    <t>NGRD3</t>
  </si>
  <si>
    <t>NEOGRID</t>
  </si>
  <si>
    <t>10.139.870/0001-08</t>
  </si>
  <si>
    <t>NTCO3</t>
  </si>
  <si>
    <t>NATURA COSMETICOS</t>
  </si>
  <si>
    <t>71.673.990/0001-77</t>
  </si>
  <si>
    <t>ODPV3</t>
  </si>
  <si>
    <t>ODONTOPREV</t>
  </si>
  <si>
    <t>58.119.199/0001-51</t>
  </si>
  <si>
    <t>OFSA3</t>
  </si>
  <si>
    <t>OURO FINO SAUDE ANIMAL</t>
  </si>
  <si>
    <t>20.258.278/0001-70</t>
  </si>
  <si>
    <t>OI</t>
  </si>
  <si>
    <t>76.535.764/0001-43</t>
  </si>
  <si>
    <t>OSXB3</t>
  </si>
  <si>
    <t>OSX BRASIL</t>
  </si>
  <si>
    <t>09.112.685/0001-32</t>
  </si>
  <si>
    <t>PARD3</t>
  </si>
  <si>
    <t>INSTITUTO HERMES PARDINI</t>
  </si>
  <si>
    <t>19.378.769/0001-76</t>
  </si>
  <si>
    <t>CIA BRASILEIRA DE DISTRIBUICAO</t>
  </si>
  <si>
    <t>47.508.411/0001-56</t>
  </si>
  <si>
    <t>PDGR3</t>
  </si>
  <si>
    <t>PDG REALTY</t>
  </si>
  <si>
    <t>02.950.811/0001-89</t>
  </si>
  <si>
    <t>PETROLEO BRASILEIRO PETROBRAS</t>
  </si>
  <si>
    <t>33.000.167/0001-01</t>
  </si>
  <si>
    <t>PETZ3</t>
  </si>
  <si>
    <t>PETZ</t>
  </si>
  <si>
    <t>18.328.118/0001-09</t>
  </si>
  <si>
    <t>PFRM3</t>
  </si>
  <si>
    <t>PROFARMA DISTRIB PROD FARMACEUTICOS</t>
  </si>
  <si>
    <t>45.453.214/0001-51</t>
  </si>
  <si>
    <t>PGMN3</t>
  </si>
  <si>
    <t>PAGUE MENOS</t>
  </si>
  <si>
    <t>06.626.253/0001-51</t>
  </si>
  <si>
    <t>BANCO PINE</t>
  </si>
  <si>
    <t>62.144.175/0001-20</t>
  </si>
  <si>
    <t>PLPL3</t>
  </si>
  <si>
    <t>PLANO &amp; PLANO</t>
  </si>
  <si>
    <t>24.230.275/0001-80</t>
  </si>
  <si>
    <t>PMAM3</t>
  </si>
  <si>
    <t>PARANAPANEMA</t>
  </si>
  <si>
    <t>60.398.369/0004-79</t>
  </si>
  <si>
    <t>MARCOPOLO</t>
  </si>
  <si>
    <t>88.611.835/0001-29</t>
  </si>
  <si>
    <t>POSI3</t>
  </si>
  <si>
    <t>POSITIVO TECNOLOGIA</t>
  </si>
  <si>
    <t>81.243.735/0001-48</t>
  </si>
  <si>
    <t>PRIO3</t>
  </si>
  <si>
    <t>PETRO RIO</t>
  </si>
  <si>
    <t>10.629.105/0001-68</t>
  </si>
  <si>
    <t>PRNR3</t>
  </si>
  <si>
    <t>PRINER</t>
  </si>
  <si>
    <t>18.593.815/0001-97</t>
  </si>
  <si>
    <t>PSSA3</t>
  </si>
  <si>
    <t>PORTO SEGURO</t>
  </si>
  <si>
    <t>02.149.205/0001-69</t>
  </si>
  <si>
    <t>QUAL3</t>
  </si>
  <si>
    <t>QUALICORP</t>
  </si>
  <si>
    <t>11.992.680/0001-93</t>
  </si>
  <si>
    <t>RADL3</t>
  </si>
  <si>
    <t>RAIA DROGASIL</t>
  </si>
  <si>
    <t>61.585.865/0001-51</t>
  </si>
  <si>
    <t>RAIL3</t>
  </si>
  <si>
    <t>RUMO</t>
  </si>
  <si>
    <t>02.387.241/0001-60</t>
  </si>
  <si>
    <t>RANDON IMPLEMENTOS</t>
  </si>
  <si>
    <t>89.086.144/0001-16</t>
  </si>
  <si>
    <t>RECRUSUL</t>
  </si>
  <si>
    <t>91.333.666/0001-17</t>
  </si>
  <si>
    <t>RDOR3</t>
  </si>
  <si>
    <t>REDE D’OR</t>
  </si>
  <si>
    <t>06.047.087/0001-39</t>
  </si>
  <si>
    <t>REDE3</t>
  </si>
  <si>
    <t>REDE ENERGIA</t>
  </si>
  <si>
    <t>61.584.140/0001-49</t>
  </si>
  <si>
    <t>RENT3</t>
  </si>
  <si>
    <t>LOCALIZA RENT A CAR</t>
  </si>
  <si>
    <t>16.670.085/0001-55</t>
  </si>
  <si>
    <t>RENOVA ENERGIA</t>
  </si>
  <si>
    <t>08.534.605/0001-74</t>
  </si>
  <si>
    <t>ROMI3</t>
  </si>
  <si>
    <t>INDUSTRIAS ROMI</t>
  </si>
  <si>
    <t>56.720.428/0001-63</t>
  </si>
  <si>
    <t>RPMG3</t>
  </si>
  <si>
    <t>REFINARIA DE PETROLEOS MANGUINHOS</t>
  </si>
  <si>
    <t>33.412.081/0001-96</t>
  </si>
  <si>
    <t>RRRP3</t>
  </si>
  <si>
    <t>3R PETROLEUM</t>
  </si>
  <si>
    <t>12.091.809/0001-55</t>
  </si>
  <si>
    <t>RSID3</t>
  </si>
  <si>
    <t>ROSSI RESIDENCIAL</t>
  </si>
  <si>
    <t>61.065.751/0001-80</t>
  </si>
  <si>
    <t>BANCO SANTANDER</t>
  </si>
  <si>
    <t>90.400.888/0001-42</t>
  </si>
  <si>
    <t>CIA SANEAMENTO DO PARANA – SANEPAR</t>
  </si>
  <si>
    <t>76.484.013/0001-45</t>
  </si>
  <si>
    <t>SBSP3</t>
  </si>
  <si>
    <t>CIA SANEAMENTO BASICO SAO PAULO – SABESP</t>
  </si>
  <si>
    <t>43.776.517/0001-80</t>
  </si>
  <si>
    <t>SCAR3</t>
  </si>
  <si>
    <t>SAO CARLOS</t>
  </si>
  <si>
    <t>29.780.061/0001-09</t>
  </si>
  <si>
    <t>SEDU3</t>
  </si>
  <si>
    <t>SOMOS EDUCAÇÃO</t>
  </si>
  <si>
    <t>02.541.982/0001-54</t>
  </si>
  <si>
    <t>SEER3</t>
  </si>
  <si>
    <t>SER EDUCACIONAL</t>
  </si>
  <si>
    <t>04.986.320/0001-13</t>
  </si>
  <si>
    <t>SEQL3</t>
  </si>
  <si>
    <t>SEQUOIA</t>
  </si>
  <si>
    <t>01.599.101/0001-93</t>
  </si>
  <si>
    <t>SGPS3</t>
  </si>
  <si>
    <t>SPRINGS GLOBAL</t>
  </si>
  <si>
    <t>07.718.269/0001-57</t>
  </si>
  <si>
    <t>SHOW3</t>
  </si>
  <si>
    <t>T4F ENTRETENIMENTO</t>
  </si>
  <si>
    <t>02.860.694/0001-62</t>
  </si>
  <si>
    <t>SCHULZ</t>
  </si>
  <si>
    <t>84.693.183/0001-68</t>
  </si>
  <si>
    <t>SLCE3</t>
  </si>
  <si>
    <t>SLC AGRICOLA</t>
  </si>
  <si>
    <t>89.096.457/0001-55</t>
  </si>
  <si>
    <t>SARAIVA LIVREIROS EDITORES</t>
  </si>
  <si>
    <t>60.500.139/0001-26</t>
  </si>
  <si>
    <t>SMLS3</t>
  </si>
  <si>
    <t>SMILES FIDELIDADE</t>
  </si>
  <si>
    <t>05.730.375/0001-20</t>
  </si>
  <si>
    <t>SMTO3</t>
  </si>
  <si>
    <t>SAO MARTINHO</t>
  </si>
  <si>
    <t>51.466.860/0001-56</t>
  </si>
  <si>
    <t>SOMA3</t>
  </si>
  <si>
    <t>GRUPO SOMA</t>
  </si>
  <si>
    <t>10.285.590/0001-08</t>
  </si>
  <si>
    <t>SQIA3</t>
  </si>
  <si>
    <t>SINQIA</t>
  </si>
  <si>
    <t>04.065.791/0001-99</t>
  </si>
  <si>
    <t>SSBR3</t>
  </si>
  <si>
    <t>SONAE SIERRA BRASIL</t>
  </si>
  <si>
    <t>05.878.397/0001-32</t>
  </si>
  <si>
    <t>STBP3</t>
  </si>
  <si>
    <t>SANTOS BRASIL</t>
  </si>
  <si>
    <t>02.762.121/0001-04</t>
  </si>
  <si>
    <t>SUL AMERICA</t>
  </si>
  <si>
    <t>29.978.814/0001-87</t>
  </si>
  <si>
    <t>SUZB3</t>
  </si>
  <si>
    <t>SUZANO PAPEL E CELULOSE</t>
  </si>
  <si>
    <t>16.404.287/0001-55</t>
  </si>
  <si>
    <t>TRANSMISSORA ALIANÇA DE ENERGIA ELÉTRICA</t>
  </si>
  <si>
    <t>07.859.971/0001-30</t>
  </si>
  <si>
    <t>TAURUS ARMAS</t>
  </si>
  <si>
    <t>92.781.335/0001-02</t>
  </si>
  <si>
    <t>TECNOSOLO ENGENHARIA</t>
  </si>
  <si>
    <t>33.111.246/0001-90</t>
  </si>
  <si>
    <t>TECNISA</t>
  </si>
  <si>
    <t>08.065.557/0001-12</t>
  </si>
  <si>
    <t>TECN3</t>
  </si>
  <si>
    <t>TECHNOS</t>
  </si>
  <si>
    <t>09.295.063/0001-97</t>
  </si>
  <si>
    <t>TEKA-TECELAGEM KUEHNRICH</t>
  </si>
  <si>
    <t>82.636.986/0001-55</t>
  </si>
  <si>
    <t>TEND3</t>
  </si>
  <si>
    <t>CONSTRUTORA TENDA</t>
  </si>
  <si>
    <t>71.476.527/0001-35</t>
  </si>
  <si>
    <t>TGMA3</t>
  </si>
  <si>
    <t>TEGMA GESTAO LOGISTICA</t>
  </si>
  <si>
    <t>02.351.144/0001-18</t>
  </si>
  <si>
    <t>TESA3</t>
  </si>
  <si>
    <t>TERRA SANTA AGRO</t>
  </si>
  <si>
    <t>05.799.312/0001-20</t>
  </si>
  <si>
    <t>TFCO4</t>
  </si>
  <si>
    <t>TRACK &amp; FIELD</t>
  </si>
  <si>
    <t>59.418.806/0001-47</t>
  </si>
  <si>
    <t>AES TIETE ENERGIA</t>
  </si>
  <si>
    <t>04.128.563/0001-10</t>
  </si>
  <si>
    <t>TIMP3</t>
  </si>
  <si>
    <t>TIM</t>
  </si>
  <si>
    <t>02.558.115/0001-21</t>
  </si>
  <si>
    <t>TOTS3</t>
  </si>
  <si>
    <t>TOTVS</t>
  </si>
  <si>
    <t>53.113.791/0001-22</t>
  </si>
  <si>
    <t>TPIS3</t>
  </si>
  <si>
    <t>TRIUNFO PART</t>
  </si>
  <si>
    <t>03.014.553/0001-91</t>
  </si>
  <si>
    <t>TRIS3</t>
  </si>
  <si>
    <t>TRISUL</t>
  </si>
  <si>
    <t>08.811.643/0001-27</t>
  </si>
  <si>
    <t>CIA TRANSMISSÃO ENERGIA ELÉTRICA PAULISTA – CTEEP</t>
  </si>
  <si>
    <t>02.998.611/0001-04</t>
  </si>
  <si>
    <t>TUPY3</t>
  </si>
  <si>
    <t>TUPY</t>
  </si>
  <si>
    <t>84.683.374/0001-49</t>
  </si>
  <si>
    <t>UCAS3</t>
  </si>
  <si>
    <t>UNICASA INDÚSTRIA DE MÓVEIS</t>
  </si>
  <si>
    <t>90.441.460/0001-48</t>
  </si>
  <si>
    <t>UGPA3</t>
  </si>
  <si>
    <t>ULTRAPAR PARTICIPACOES</t>
  </si>
  <si>
    <t>33.256.439/0001-39</t>
  </si>
  <si>
    <t>UNIPAR CARBOCLORO S.A.</t>
  </si>
  <si>
    <t>33.958.695/0001-78</t>
  </si>
  <si>
    <t>USINAS SIDERÚRGICAS DE MINAS GERAIS – USIMINAS</t>
  </si>
  <si>
    <t>60.894.730/0001-05</t>
  </si>
  <si>
    <t>VALE3</t>
  </si>
  <si>
    <t>VALE</t>
  </si>
  <si>
    <t>33.592.510/0001-54</t>
  </si>
  <si>
    <t>VAMO3</t>
  </si>
  <si>
    <t>GRUPO VAMOS</t>
  </si>
  <si>
    <t>23.373.000/0001-32</t>
  </si>
  <si>
    <t>VIVA3</t>
  </si>
  <si>
    <t>VIVARA</t>
  </si>
  <si>
    <t>33.839.910/0001-11</t>
  </si>
  <si>
    <t>TELEFÔNICA BRASIL</t>
  </si>
  <si>
    <t>02.558.157/0001-62</t>
  </si>
  <si>
    <t>VLID3</t>
  </si>
  <si>
    <t>VALID SOLUÇÕES</t>
  </si>
  <si>
    <t>33.113.309/0001-47</t>
  </si>
  <si>
    <t>VULC3</t>
  </si>
  <si>
    <t>VULCABRAS/AZALEIA</t>
  </si>
  <si>
    <t>50.926.955/0001-42</t>
  </si>
  <si>
    <t>VVAR3</t>
  </si>
  <si>
    <t>VIA VAREJO</t>
  </si>
  <si>
    <t>33.041.260/0652-90</t>
  </si>
  <si>
    <t>YDUQ3</t>
  </si>
  <si>
    <t>YDUQS</t>
  </si>
  <si>
    <t>08.807.432/0001-10</t>
  </si>
  <si>
    <t>WEGE3</t>
  </si>
  <si>
    <t>WEG</t>
  </si>
  <si>
    <t>84.429.695/0001-11</t>
  </si>
  <si>
    <t>WHIRLPOOL</t>
  </si>
  <si>
    <t>59.105.999/0001-86</t>
  </si>
  <si>
    <t>WIZS3</t>
  </si>
  <si>
    <t>WIZ SOLUÇÕES E CORRETAGEM DE SEGUROS</t>
  </si>
  <si>
    <t>42.278.473/0001-03</t>
  </si>
  <si>
    <t>WSON33</t>
  </si>
  <si>
    <t>WILSON SONS</t>
  </si>
  <si>
    <t>05.721.735/0001-28</t>
  </si>
  <si>
    <t>ALPA3</t>
  </si>
  <si>
    <t>ALUP11</t>
  </si>
  <si>
    <t>BAUH3</t>
  </si>
  <si>
    <t>BBDC3</t>
  </si>
  <si>
    <t>BIDI4</t>
  </si>
  <si>
    <t>BOBR3</t>
  </si>
  <si>
    <t>BPAC11</t>
  </si>
  <si>
    <t>BRAP3</t>
  </si>
  <si>
    <t>BRKM3</t>
  </si>
  <si>
    <t>BRSR3</t>
  </si>
  <si>
    <t>CEPE3</t>
  </si>
  <si>
    <t>CESP3</t>
  </si>
  <si>
    <t>CGAS3</t>
  </si>
  <si>
    <t>CGRA3</t>
  </si>
  <si>
    <t>CMIG3</t>
  </si>
  <si>
    <t>COCE3</t>
  </si>
  <si>
    <t>CTKA3</t>
  </si>
  <si>
    <t>CTNM3</t>
  </si>
  <si>
    <t>ELEK3</t>
  </si>
  <si>
    <t>ELET3</t>
  </si>
  <si>
    <t>ENGI11</t>
  </si>
  <si>
    <t>ESTR3</t>
  </si>
  <si>
    <t>EUCA3</t>
  </si>
  <si>
    <t>FESA3</t>
  </si>
  <si>
    <t>GEPA3</t>
  </si>
  <si>
    <t>GGBR3</t>
  </si>
  <si>
    <t>GOAU3</t>
  </si>
  <si>
    <t>GUAR3</t>
  </si>
  <si>
    <t>HOOT3</t>
  </si>
  <si>
    <t>ITUB3</t>
  </si>
  <si>
    <t>KLBN11</t>
  </si>
  <si>
    <t>LAME3</t>
  </si>
  <si>
    <t>NAFG3</t>
  </si>
  <si>
    <t>PCAR3</t>
  </si>
  <si>
    <t>PINE3</t>
  </si>
  <si>
    <t>POMO3</t>
  </si>
  <si>
    <t>RAPT3</t>
  </si>
  <si>
    <t>RCSL3</t>
  </si>
  <si>
    <t>RNEW11</t>
  </si>
  <si>
    <t>SANB11</t>
  </si>
  <si>
    <t>SAPR11</t>
  </si>
  <si>
    <t>SHUL3</t>
  </si>
  <si>
    <t>SLED3</t>
  </si>
  <si>
    <t>SULA11</t>
  </si>
  <si>
    <t>TAEE11</t>
  </si>
  <si>
    <t>TASA3</t>
  </si>
  <si>
    <t>TCNO3</t>
  </si>
  <si>
    <t>TEKA3</t>
  </si>
  <si>
    <t>TIET11</t>
  </si>
  <si>
    <t>TRPL3</t>
  </si>
  <si>
    <t>UNIP3</t>
  </si>
  <si>
    <t>USIM3</t>
  </si>
  <si>
    <t>VIVT3</t>
  </si>
  <si>
    <t>WHRL3</t>
  </si>
  <si>
    <t>Data</t>
  </si>
  <si>
    <t>C</t>
  </si>
  <si>
    <t>V</t>
  </si>
  <si>
    <t>Codigo Fracionario</t>
  </si>
  <si>
    <t>preço medio</t>
  </si>
  <si>
    <t xml:space="preserve">custo total </t>
  </si>
  <si>
    <t>cnpj</t>
  </si>
  <si>
    <t>codigo negociacao</t>
  </si>
  <si>
    <t>Corretora</t>
  </si>
  <si>
    <t>Preço Médio (R$)</t>
  </si>
  <si>
    <t>Custo Total (R$)</t>
  </si>
  <si>
    <t xml:space="preserve">C          </t>
  </si>
  <si>
    <t xml:space="preserve">   01/01/20</t>
  </si>
  <si>
    <t xml:space="preserve">  01/01/20</t>
  </si>
  <si>
    <t>Texto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</si>
</sst>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[$-1010416]#,###,###,##0"/>
    <numFmt numFmtId="165" formatCode="[$-1010416]#,###,###,##0.00"/>
    <numFmt numFmtId="166" formatCode="&quot;R$&quot;\ #,##0.0000000;\-&quot;R$&quot;\ #,##0.0000000"/>
  </numFmts>
  <fonts count="1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6.95"/>
      <color indexed="9"/>
      <name val="Arial"/>
      <family val="2"/>
    </font>
    <font>
      <sz val="6.95"/>
      <color indexed="8"/>
      <name val="Arial"/>
      <family val="2"/>
    </font>
    <font>
      <u/>
      <sz val="6.95"/>
      <color indexed="8"/>
      <name val="Arial"/>
      <family val="2"/>
    </font>
    <font>
      <b/>
      <sz val="9"/>
      <color rgb="FFFFFFFF"/>
      <name val="Inherit"/>
    </font>
    <font>
      <sz val="9"/>
      <name val="Inherit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</patternFill>
    </fill>
    <fill>
      <patternFill patternType="solid">
        <fgColor rgb="FF008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medium">
        <color indexed="9"/>
      </left>
      <right/>
      <top/>
      <bottom/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/>
      <top style="medium">
        <color indexed="22"/>
      </top>
      <bottom style="medium">
        <color indexed="9"/>
      </bottom>
      <diagonal/>
    </border>
    <border>
      <left/>
      <right style="medium">
        <color indexed="9"/>
      </right>
      <top style="medium">
        <color indexed="22"/>
      </top>
      <bottom style="medium">
        <color indexed="9"/>
      </bottom>
      <diagonal/>
    </border>
    <border>
      <left style="medium">
        <color indexed="9"/>
      </left>
      <right/>
      <top/>
      <bottom style="medium">
        <color indexed="22"/>
      </bottom>
      <diagonal/>
    </border>
    <border>
      <left/>
      <right style="medium">
        <color indexed="9"/>
      </right>
      <top/>
      <bottom style="medium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4" fillId="0" borderId="0" xfId="0" applyFont="1" applyAlignment="1">
      <alignment horizontal="left" vertical="top" wrapText="1"/>
    </xf>
    <xf numFmtId="0" fontId="6" fillId="3" borderId="0" xfId="0" applyFont="1" applyFill="1" applyAlignment="1">
      <alignment horizontal="center" vertical="top" wrapText="1"/>
    </xf>
    <xf numFmtId="0" fontId="6" fillId="3" borderId="0" xfId="0" applyFont="1" applyFill="1" applyAlignment="1">
      <alignment horizontal="right" vertical="top" wrapText="1"/>
    </xf>
    <xf numFmtId="0" fontId="7" fillId="2" borderId="3" xfId="0" applyFont="1" applyFill="1" applyBorder="1" applyAlignment="1">
      <alignment horizontal="center" vertical="top" wrapText="1"/>
    </xf>
    <xf numFmtId="0" fontId="7" fillId="2" borderId="3" xfId="0" applyFont="1" applyFill="1" applyBorder="1" applyAlignment="1">
      <alignment horizontal="left" vertical="top" wrapText="1"/>
    </xf>
    <xf numFmtId="164" fontId="7" fillId="2" borderId="3" xfId="0" applyNumberFormat="1" applyFont="1" applyFill="1" applyBorder="1" applyAlignment="1">
      <alignment horizontal="right" vertical="top" wrapText="1"/>
    </xf>
    <xf numFmtId="165" fontId="7" fillId="2" borderId="3" xfId="0" applyNumberFormat="1" applyFont="1" applyFill="1" applyBorder="1" applyAlignment="1">
      <alignment horizontal="right" vertical="top" wrapText="1"/>
    </xf>
    <xf numFmtId="0" fontId="7" fillId="4" borderId="3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horizontal="left" vertical="top" wrapText="1"/>
    </xf>
    <xf numFmtId="164" fontId="7" fillId="4" borderId="3" xfId="0" applyNumberFormat="1" applyFont="1" applyFill="1" applyBorder="1" applyAlignment="1">
      <alignment horizontal="right" vertical="top" wrapText="1"/>
    </xf>
    <xf numFmtId="165" fontId="7" fillId="4" borderId="3" xfId="0" applyNumberFormat="1" applyFont="1" applyFill="1" applyBorder="1" applyAlignment="1">
      <alignment horizontal="right" vertical="top" wrapText="1"/>
    </xf>
    <xf numFmtId="0" fontId="8" fillId="2" borderId="3" xfId="0" applyFont="1" applyFill="1" applyBorder="1" applyAlignment="1">
      <alignment horizontal="left" vertical="top" wrapText="1"/>
    </xf>
    <xf numFmtId="0" fontId="11" fillId="0" borderId="8" xfId="0" applyFont="1" applyBorder="1"/>
    <xf numFmtId="0" fontId="11" fillId="0" borderId="9" xfId="0" applyFont="1" applyBorder="1"/>
    <xf numFmtId="0" fontId="9" fillId="5" borderId="8" xfId="0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4" fontId="1" fillId="6" borderId="0" xfId="0" applyNumberFormat="1" applyFont="1" applyFill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5" borderId="8" xfId="0" applyFont="1" applyFill="1" applyBorder="1" applyAlignment="1">
      <alignment vertical="center" wrapText="1"/>
    </xf>
    <xf numFmtId="44" fontId="0" fillId="0" borderId="0" xfId="0" applyNumberFormat="1" applyAlignment="1">
      <alignment vertical="center"/>
    </xf>
    <xf numFmtId="165" fontId="7" fillId="4" borderId="3" xfId="0" applyNumberFormat="1" applyFont="1" applyFill="1" applyBorder="1" applyAlignment="1">
      <alignment horizontal="right" vertical="top" wrapText="1"/>
    </xf>
    <xf numFmtId="165" fontId="7" fillId="2" borderId="3" xfId="0" applyNumberFormat="1" applyFont="1" applyFill="1" applyBorder="1" applyAlignment="1">
      <alignment horizontal="right" vertical="top" wrapText="1"/>
    </xf>
    <xf numFmtId="7" fontId="0" fillId="0" borderId="0" xfId="0" applyNumberFormat="1" applyAlignment="1">
      <alignment vertical="center"/>
    </xf>
    <xf numFmtId="0" fontId="0" fillId="7" borderId="0" xfId="0" applyFill="1"/>
    <xf numFmtId="44" fontId="1" fillId="0" borderId="0" xfId="0" applyNumberFormat="1" applyFont="1" applyFill="1" applyAlignment="1">
      <alignment horizontal="center" vertical="center"/>
    </xf>
    <xf numFmtId="44" fontId="0" fillId="0" borderId="0" xfId="0" applyNumberFormat="1"/>
    <xf numFmtId="166" fontId="0" fillId="0" borderId="0" xfId="0" applyNumberFormat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0" fillId="0" borderId="2" xfId="0" applyBorder="1" applyAlignment="1">
      <alignment wrapText="1"/>
    </xf>
    <xf numFmtId="0" fontId="7" fillId="4" borderId="1" xfId="0" applyFont="1" applyFill="1" applyBorder="1" applyAlignment="1">
      <alignment horizontal="center" vertical="top" wrapText="1"/>
    </xf>
    <xf numFmtId="165" fontId="7" fillId="4" borderId="3" xfId="0" applyNumberFormat="1" applyFont="1" applyFill="1" applyBorder="1" applyAlignment="1">
      <alignment horizontal="right" vertical="top" wrapText="1"/>
    </xf>
    <xf numFmtId="0" fontId="2" fillId="0" borderId="2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7" fillId="2" borderId="1" xfId="0" applyFont="1" applyFill="1" applyBorder="1" applyAlignment="1">
      <alignment horizontal="center" vertical="top" wrapText="1"/>
    </xf>
    <xf numFmtId="165" fontId="7" fillId="2" borderId="3" xfId="0" applyNumberFormat="1" applyFont="1" applyFill="1" applyBorder="1" applyAlignment="1">
      <alignment horizontal="right" vertical="top" wrapText="1"/>
    </xf>
    <xf numFmtId="0" fontId="5" fillId="2" borderId="6" xfId="0" applyFont="1" applyFill="1" applyBorder="1" applyAlignment="1">
      <alignment horizontal="left" vertical="top" wrapText="1"/>
    </xf>
    <xf numFmtId="0" fontId="2" fillId="0" borderId="7" xfId="0" applyFont="1" applyBorder="1" applyAlignment="1">
      <alignment vertical="top" wrapText="1"/>
    </xf>
    <xf numFmtId="0" fontId="6" fillId="3" borderId="2" xfId="0" applyFont="1" applyFill="1" applyBorder="1" applyAlignment="1">
      <alignment horizontal="center" vertical="top" wrapText="1"/>
    </xf>
    <xf numFmtId="0" fontId="6" fillId="3" borderId="3" xfId="0" applyFont="1" applyFill="1" applyBorder="1" applyAlignment="1">
      <alignment horizontal="right" vertical="top" wrapText="1"/>
    </xf>
    <xf numFmtId="0" fontId="4" fillId="2" borderId="4" xfId="0" applyFont="1" applyFill="1" applyBorder="1" applyAlignment="1">
      <alignment vertical="top" wrapText="1"/>
    </xf>
    <xf numFmtId="0" fontId="4" fillId="2" borderId="5" xfId="0" applyFont="1" applyFill="1" applyBorder="1" applyAlignment="1">
      <alignment vertical="top" wrapText="1"/>
    </xf>
    <xf numFmtId="0" fontId="5" fillId="2" borderId="7" xfId="0" applyFont="1" applyFill="1" applyBorder="1" applyAlignment="1">
      <alignment horizontal="left" vertical="top" wrapText="1"/>
    </xf>
    <xf numFmtId="0" fontId="2" fillId="0" borderId="5" xfId="0" applyFont="1" applyBorder="1" applyAlignment="1">
      <alignment vertical="top" wrapText="1"/>
    </xf>
    <xf numFmtId="0" fontId="2" fillId="0" borderId="0" xfId="0" applyFont="1" applyAlignment="1">
      <alignment vertical="top" wrapText="1"/>
    </xf>
    <xf numFmtId="0" fontId="3" fillId="0" borderId="1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463551</xdr:colOff>
      <xdr:row>2</xdr:row>
      <xdr:rowOff>82550</xdr:rowOff>
    </xdr:from>
    <xdr:to>
      <xdr:col>1</xdr:col>
      <xdr:colOff>2292351</xdr:colOff>
      <xdr:row>6</xdr:row>
      <xdr:rowOff>34925</xdr:rowOff>
    </xdr:to>
    <xdr:sp macro="[0]!extracao_cei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D1D5506-4768-43B3-AC34-AC331ABE25E1}"/>
            </a:ext>
          </a:extLst>
        </xdr:cNvPr>
        <xdr:cNvSpPr/>
      </xdr:nvSpPr>
      <xdr:spPr>
        <a:xfrm>
          <a:off x="463551" y="444500"/>
          <a:ext cx="2400300" cy="676275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ATUALIZAR</a:t>
          </a:r>
          <a:r>
            <a:rPr lang="pt-BR" sz="1400" b="1" baseline="0"/>
            <a:t> TABELA HISTÓRICA DAS OPERAÇÔES</a:t>
          </a:r>
          <a:endParaRPr lang="pt-BR" sz="1400" b="1"/>
        </a:p>
      </xdr:txBody>
    </xdr:sp>
    <xdr:clientData/>
  </xdr:twoCellAnchor>
  <xdr:twoCellAnchor>
    <xdr:from>
      <xdr:col>1</xdr:col>
      <xdr:colOff>2473326</xdr:colOff>
      <xdr:row>2</xdr:row>
      <xdr:rowOff>63500</xdr:rowOff>
    </xdr:from>
    <xdr:to>
      <xdr:col>4</xdr:col>
      <xdr:colOff>361951</xdr:colOff>
      <xdr:row>6</xdr:row>
      <xdr:rowOff>15875</xdr:rowOff>
    </xdr:to>
    <xdr:sp macro="[0]!Resu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B8A9D9D-1D7A-48A3-919A-CF6D60116943}"/>
            </a:ext>
          </a:extLst>
        </xdr:cNvPr>
        <xdr:cNvSpPr/>
      </xdr:nvSpPr>
      <xdr:spPr>
        <a:xfrm>
          <a:off x="3044826" y="425450"/>
          <a:ext cx="2403475" cy="676275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ATUALIZAR</a:t>
          </a:r>
          <a:r>
            <a:rPr lang="pt-BR" sz="1400" b="1" baseline="0"/>
            <a:t> RESUMO</a:t>
          </a:r>
          <a:endParaRPr lang="pt-BR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FC7AC29-8381-468C-89FB-DB135844B0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250" y="0"/>
          <a:ext cx="6216650" cy="482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8F1DF-8CC6-49A8-8EFB-4FFA87A9D04A}">
  <sheetPr codeName="Planilha1"/>
  <dimension ref="A1:U32"/>
  <sheetViews>
    <sheetView zoomScaleNormal="100" workbookViewId="0">
      <selection activeCell="E13" sqref="E13"/>
    </sheetView>
  </sheetViews>
  <sheetFormatPr defaultRowHeight="14.5"/>
  <cols>
    <col min="1" max="1" width="8.1796875" bestFit="1" customWidth="1"/>
    <col min="2" max="2" width="36.54296875" bestFit="1" customWidth="1"/>
    <col min="3" max="3" width="10.90625" bestFit="1" customWidth="1"/>
    <col min="4" max="4" width="17.1796875" bestFit="1" customWidth="1"/>
    <col min="5" max="5" width="16.08984375" customWidth="1"/>
    <col min="6" max="6" width="17.54296875" bestFit="1" customWidth="1"/>
    <col min="7" max="7" width="122.26953125" bestFit="1" customWidth="1"/>
    <col min="8" max="8" width="10.36328125" bestFit="1" customWidth="1"/>
  </cols>
  <sheetData>
    <row r="1" spans="1:21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</row>
    <row r="2" spans="1:21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</row>
    <row r="3" spans="1:21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</row>
    <row r="4" spans="1:21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1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</row>
    <row r="6" spans="1:21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1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</row>
    <row r="8" spans="1:21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1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</row>
    <row r="12" spans="1:21">
      <c r="A12" s="18" t="s">
        <v>14</v>
      </c>
      <c r="B12" s="18" t="s">
        <v>87</v>
      </c>
      <c r="C12" s="18" t="s">
        <v>16</v>
      </c>
      <c r="D12" s="21" t="s">
        <v>787</v>
      </c>
      <c r="E12" s="18" t="s">
        <v>788</v>
      </c>
      <c r="F12" s="21" t="s">
        <v>81</v>
      </c>
      <c r="G12" s="21" t="s">
        <v>792</v>
      </c>
      <c r="H12" s="30"/>
    </row>
    <row r="13" spans="1:21">
      <c r="A13" s="19" t="s">
        <v>50</v>
      </c>
      <c r="B13" t="str">
        <f>VLOOKUP(A13,CNPJ!$A$2:$D$1048576,3,0)</f>
        <v>TECNISA</v>
      </c>
      <c r="C13">
        <f>SUMIFS(Historico!D:D,Historico!C:C,Principal!A13,Historico!B:B,"C")-SUMIFS(Historico!D:D,Historico!C:C,Principal!A13,Historico!B:B,"V")</f>
        <v>4000</v>
      </c>
      <c r="D13" s="31">
        <f>ROUND((SUMIFS(Historico!F:F,Historico!C:C,Principal!A13,Historico!B:B,"C")/SUMIFS(Historico!D:D,Historico!B:B,"C",Historico!C:C,Principal!A13)),2)</f>
        <v>0.78</v>
      </c>
      <c r="E13" s="31">
        <f>ROUND(C13*D13,2)</f>
        <v>3120</v>
      </c>
      <c r="F13" t="str">
        <f>VLOOKUP(A13,CNPJ!$A$2:$D$1048576,4,0)</f>
        <v>08.065.557/0001-12</v>
      </c>
      <c r="G13" t="str">
        <f>_xlfn.CONCAT("Código de negociação da B3: ",A13," Quantidado no final no ano: ",C13," Preço médio: R$ ",D13," Custo total: R$ ",E13)</f>
        <v>Código de negociação da B3: TCSA3 Quantidado no final no ano: 4000 Preço médio: R$ 0,78 Custo total: R$ 3120</v>
      </c>
    </row>
    <row r="14" spans="1:21">
      <c r="A14" s="19" t="s">
        <v>34</v>
      </c>
      <c r="B14" t="str">
        <f>VLOOKUP(A14,CNPJ!$A$2:$D$1048576,3,0)</f>
        <v>OI</v>
      </c>
      <c r="C14">
        <f>SUMIFS(Historico!D:D,Historico!C:C,Principal!A14,Historico!B:B,"C")-SUMIFS(Historico!D:D,Historico!C:C,Principal!A14,Historico!B:B,"V")</f>
        <v>100</v>
      </c>
      <c r="D14" s="31">
        <f>ROUND((SUMIFS(Historico!F:F,Historico!C:C,Principal!A14,Historico!B:B,"C")/SUMIFS(Historico!D:D,Historico!B:B,"C",Historico!C:C,Principal!A14)),2)</f>
        <v>0.41</v>
      </c>
      <c r="E14" s="31">
        <f>ROUND(C14*D14,2)</f>
        <v>41</v>
      </c>
      <c r="F14" t="str">
        <f>VLOOKUP(A14,CNPJ!$A$2:$D$1048576,4,0)</f>
        <v>76.535.764/0001-43</v>
      </c>
      <c r="G14" t="str">
        <f>_xlfn.CONCAT("Código de negociação da B3: ",A14," Quantidado no final no ano: ",C14," Preço médio: R$ ",D14," Custo total: R$ ",E14)</f>
        <v>Código de negociação da B3: OIBR3 Quantidado no final no ano: 100 Preço médio: R$ 0,41 Custo total: R$ 41</v>
      </c>
    </row>
    <row r="15" spans="1:21">
      <c r="A15" t="s">
        <v>39</v>
      </c>
      <c r="B15" t="str">
        <f>VLOOKUP(A15,CNPJ!$A$2:$D$1048576,3,0)</f>
        <v>ITAUSA INVESTIMENTOS</v>
      </c>
      <c r="C15">
        <f>SUMIFS(Historico!D:D,Historico!C:C,Principal!A15,Historico!B:B,"C")-SUMIFS(Historico!D:D,Historico!C:C,Principal!A15,Historico!B:B,"V")</f>
        <v>100</v>
      </c>
      <c r="D15" s="31">
        <f>ROUND((SUMIFS(Historico!F:F,Historico!C:C,Principal!A15,Historico!B:B,"C")/SUMIFS(Historico!D:D,Historico!B:B,"C",Historico!C:C,Principal!A15)),2)</f>
        <v>9.2200000000000006</v>
      </c>
      <c r="E15" s="31">
        <f>ROUND(C15*D15,2)</f>
        <v>922</v>
      </c>
      <c r="F15" t="str">
        <f>VLOOKUP(A15,CNPJ!$A$2:$D$1048576,4,0)</f>
        <v>61.532.644/0001-15</v>
      </c>
      <c r="G15" t="str">
        <f>_xlfn.CONCAT("Código de negociação da B3: ",A15," Quantidado no final no ano: ",C15," Preço médio: R$ ",D15," Custo total: R$ ",E15)</f>
        <v>Código de negociação da B3: ITSA4 Quantidado no final no ano: 100 Preço médio: R$ 9,22 Custo total: R$ 922</v>
      </c>
    </row>
    <row r="16" spans="1:21">
      <c r="A16" t="s">
        <v>43</v>
      </c>
      <c r="B16" t="str">
        <f>VLOOKUP(A16,CNPJ!$A$2:$D$1048576,3,0)</f>
        <v>PETROLEO BRASILEIRO PETROBRAS</v>
      </c>
      <c r="C16">
        <f>SUMIFS(Historico!D:D,Historico!C:C,Principal!A16,Historico!B:B,"C")-SUMIFS(Historico!D:D,Historico!C:C,Principal!A16,Historico!B:B,"V")</f>
        <v>0</v>
      </c>
      <c r="D16" s="31">
        <f>ROUND((SUMIFS(Historico!F:F,Historico!C:C,Principal!A16,Historico!B:B,"C")/SUMIFS(Historico!D:D,Historico!B:B,"C",Historico!C:C,Principal!A16)),2)</f>
        <v>13.15</v>
      </c>
      <c r="E16" s="31">
        <f>ROUND(C16*D16,2)</f>
        <v>0</v>
      </c>
      <c r="F16" t="str">
        <f>VLOOKUP(A16,CNPJ!$A$2:$D$1048576,4,0)</f>
        <v>33.000.167/0001-01</v>
      </c>
      <c r="G16" t="str">
        <f>_xlfn.CONCAT("Código de negociação da B3: ",A16," Quantidado no final no ano: ",C16," Preço médio: R$ ",D16," Custo total: R$ ",E16)</f>
        <v>Código de negociação da B3: PETR4 Quantidado no final no ano: 0 Preço médio: R$ 13,15 Custo total: R$ 0</v>
      </c>
    </row>
    <row r="17" spans="1:7">
      <c r="A17" t="s">
        <v>69</v>
      </c>
      <c r="B17" t="str">
        <f>VLOOKUP(A17,CNPJ!$A$2:$D$1048576,3,0)</f>
        <v>FLEURY</v>
      </c>
      <c r="C17">
        <f>SUMIFS(Historico!D:D,Historico!C:C,Principal!A17,Historico!B:B,"C")-SUMIFS(Historico!D:D,Historico!C:C,Principal!A17,Historico!B:B,"V")</f>
        <v>200</v>
      </c>
      <c r="D17" s="31">
        <f>ROUND((SUMIFS(Historico!F:F,Historico!C:C,Principal!A17,Historico!B:B,"C")/SUMIFS(Historico!D:D,Historico!B:B,"C",Historico!C:C,Principal!A17)),2)</f>
        <v>25.01</v>
      </c>
      <c r="E17" s="31">
        <f>ROUND(C17*D17,2)</f>
        <v>5002</v>
      </c>
      <c r="F17" t="str">
        <f>VLOOKUP(A17,CNPJ!$A$2:$D$1048576,4,0)</f>
        <v>60.840.055/0001-31</v>
      </c>
      <c r="G17" t="str">
        <f>_xlfn.CONCAT("Código de negociação da B3: ",A17," Quantidado no final no ano: ",C17," Preço médio: R$ ",D17," Custo total: R$ ",E17)</f>
        <v>Código de negociação da B3: FLRY3 Quantidado no final no ano: 200 Preço médio: R$ 25,01 Custo total: R$ 5002</v>
      </c>
    </row>
    <row r="18" spans="1:7">
      <c r="A18" t="s">
        <v>46</v>
      </c>
      <c r="B18" t="str">
        <f>VLOOKUP(A18,CNPJ!$A$2:$D$1048576,3,0)</f>
        <v>BANCO DO BRASIL</v>
      </c>
      <c r="C18">
        <f>SUMIFS(Historico!D:D,Historico!C:C,Principal!A18,Historico!B:B,"C")-SUMIFS(Historico!D:D,Historico!C:C,Principal!A18,Historico!B:B,"V")</f>
        <v>0</v>
      </c>
      <c r="D18" s="31">
        <f>ROUND((SUMIFS(Historico!F:F,Historico!C:C,Principal!A18,Historico!B:B,"C")/SUMIFS(Historico!D:D,Historico!B:B,"C",Historico!C:C,Principal!A18)),2)</f>
        <v>25.6</v>
      </c>
      <c r="E18" s="31">
        <f>ROUND(C18*D18,2)</f>
        <v>0</v>
      </c>
      <c r="F18" t="str">
        <f>VLOOKUP(A18,CNPJ!$A$2:$D$1048576,4,0)</f>
        <v>00.000.000/0001-91</v>
      </c>
      <c r="G18" t="str">
        <f>_xlfn.CONCAT("Código de negociação da B3: ",A18," Quantidado no final no ano: ",C18," Preço médio: R$ ",D18," Custo total: R$ ",E18)</f>
        <v>Código de negociação da B3: BBAS3 Quantidado no final no ano: 0 Preço médio: R$ 25,6 Custo total: R$ 0</v>
      </c>
    </row>
    <row r="19" spans="1:7">
      <c r="A19" t="s">
        <v>53</v>
      </c>
      <c r="B19" t="str">
        <f>VLOOKUP(A19,CNPJ!$A$2:$D$1048576,3,0)</f>
        <v>M.DIAS BRANCO IND COM DE ALIMENTOS</v>
      </c>
      <c r="C19">
        <f>SUMIFS(Historico!D:D,Historico!C:C,Principal!A19,Historico!B:B,"C")-SUMIFS(Historico!D:D,Historico!C:C,Principal!A19,Historico!B:B,"V")</f>
        <v>100</v>
      </c>
      <c r="D19" s="31">
        <f>ROUND((SUMIFS(Historico!F:F,Historico!C:C,Principal!A19,Historico!B:B,"C")/SUMIFS(Historico!D:D,Historico!B:B,"C",Historico!C:C,Principal!A19)),2)</f>
        <v>28.55</v>
      </c>
      <c r="E19" s="31">
        <f>ROUND(C19*D19,2)</f>
        <v>2855</v>
      </c>
      <c r="F19" t="str">
        <f>VLOOKUP(A19,CNPJ!$A$2:$D$1048576,4,0)</f>
        <v>07.206.816/0001-15</v>
      </c>
      <c r="G19" t="str">
        <f>_xlfn.CONCAT("Código de negociação da B3: ",A19," Quantidado no final no ano: ",C19," Preço médio: R$ ",D19," Custo total: R$ ",E19)</f>
        <v>Código de negociação da B3: MDIA3 Quantidado no final no ano: 100 Preço médio: R$ 28,55 Custo total: R$ 2855</v>
      </c>
    </row>
    <row r="20" spans="1:7">
      <c r="A20" t="s">
        <v>59</v>
      </c>
      <c r="B20" t="str">
        <f>VLOOKUP(A20,CNPJ!$A$2:$D$1048576,3,0)</f>
        <v>B3 – BRASIL – BOLSA – BALCÃO</v>
      </c>
      <c r="C20">
        <f>SUMIFS(Historico!D:D,Historico!C:C,Principal!A20,Historico!B:B,"C")-SUMIFS(Historico!D:D,Historico!C:C,Principal!A20,Historico!B:B,"V")</f>
        <v>100</v>
      </c>
      <c r="D20" s="31">
        <f>ROUND((SUMIFS(Historico!F:F,Historico!C:C,Principal!A20,Historico!B:B,"C")/SUMIFS(Historico!D:D,Historico!B:B,"C",Historico!C:C,Principal!A20)),2)</f>
        <v>39.25</v>
      </c>
      <c r="E20" s="31">
        <f>ROUND(C20*D20,2)</f>
        <v>3925</v>
      </c>
      <c r="F20" t="str">
        <f>VLOOKUP(A20,CNPJ!$A$2:$D$1048576,4,0)</f>
        <v>09.346.601/0001-25</v>
      </c>
      <c r="G20" t="str">
        <f>_xlfn.CONCAT("Código de negociação da B3: ",A20," Quantidado no final no ano: ",C20," Preço médio: R$ ",D20," Custo total: R$ ",E20)</f>
        <v>Código de negociação da B3: B3SA3 Quantidado no final no ano: 100 Preço médio: R$ 39,25 Custo total: R$ 3925</v>
      </c>
    </row>
    <row r="21" spans="1:7">
      <c r="A21" t="s">
        <v>730</v>
      </c>
      <c r="B21" t="str">
        <f>VLOOKUP(A21,CNPJ!$A$2:$D$1048576,3,0)</f>
        <v>BANCO BTG PACTUAL</v>
      </c>
      <c r="C21">
        <f>SUMIFS(Historico!D:D,Historico!C:C,Principal!A21,Historico!B:B,"C")-SUMIFS(Historico!D:D,Historico!C:C,Principal!A21,Historico!B:B,"V")</f>
        <v>0</v>
      </c>
      <c r="D21" s="31">
        <f>ROUND((SUMIFS(Historico!F:F,Historico!C:C,Principal!A21,Historico!B:B,"C")/SUMIFS(Historico!D:D,Historico!B:B,"C",Historico!C:C,Principal!A21)),2)</f>
        <v>65.349999999999994</v>
      </c>
      <c r="E21" s="31">
        <f>ROUND(C21*D21,2)</f>
        <v>0</v>
      </c>
      <c r="F21" t="str">
        <f>VLOOKUP(A21,CNPJ!$A$2:$D$1048576,4,0)</f>
        <v>30.306.294/0001-45</v>
      </c>
      <c r="G21" t="str">
        <f>_xlfn.CONCAT("Código de negociação da B3: ",A21," Quantidado no final no ano: ",C21," Preço médio: R$ ",D21," Custo total: R$ ",E21)</f>
        <v>Código de negociação da B3: BPAC11 Quantidado no final no ano: 0 Preço médio: R$ 65,35 Custo total: R$ 0</v>
      </c>
    </row>
    <row r="22" spans="1:7">
      <c r="A22" t="s">
        <v>37</v>
      </c>
      <c r="B22" t="e">
        <f>VLOOKUP(A22,CNPJ!$A$2:$D$1048576,3,0)</f>
        <v>#N/A</v>
      </c>
      <c r="C22">
        <f>SUMIFS(Historico!D:D,Historico!C:C,Principal!A22,Historico!B:B,"C")-SUMIFS(Historico!D:D,Historico!C:C,Principal!A22,Historico!B:B,"V")</f>
        <v>30</v>
      </c>
      <c r="D22" s="31">
        <f>ROUND((SUMIFS(Historico!F:F,Historico!C:C,Principal!A22,Historico!B:B,"C")/SUMIFS(Historico!D:D,Historico!B:B,"C",Historico!C:C,Principal!A22)),2)</f>
        <v>94.68</v>
      </c>
      <c r="E22" s="31">
        <f>ROUND(C22*D22,2)</f>
        <v>2840.4</v>
      </c>
      <c r="F22" t="e">
        <f>VLOOKUP(A22,CNPJ!$A$2:$D$1048576,4,0)</f>
        <v>#N/A</v>
      </c>
      <c r="G22" t="str">
        <f>_xlfn.CONCAT("Código de negociação da B3: ",A22," Quantidado no final no ano: ",C22," Preço médio: R$ ",D22," Custo total: R$ ",E22)</f>
        <v>Código de negociação da B3: BRCR11 Quantidado no final no ano: 30 Preço médio: R$ 94,68 Custo total: R$ 2840,4</v>
      </c>
    </row>
    <row r="23" spans="1:7">
      <c r="A23" t="s">
        <v>66</v>
      </c>
      <c r="B23" t="e">
        <f>VLOOKUP(A23,CNPJ!$A$2:$D$1048576,3,0)</f>
        <v>#N/A</v>
      </c>
      <c r="C23">
        <f>SUMIFS(Historico!D:D,Historico!C:C,Principal!A23,Historico!B:B,"C")-SUMIFS(Historico!D:D,Historico!C:C,Principal!A23,Historico!B:B,"V")</f>
        <v>60</v>
      </c>
      <c r="D23" s="31">
        <f>ROUND((SUMIFS(Historico!F:F,Historico!C:C,Principal!A23,Historico!B:B,"C")/SUMIFS(Historico!D:D,Historico!B:B,"C",Historico!C:C,Principal!A23)),2)</f>
        <v>123.46</v>
      </c>
      <c r="E23" s="31">
        <f>ROUND(C23*D23,2)</f>
        <v>7407.6</v>
      </c>
      <c r="F23" t="e">
        <f>VLOOKUP(A23,CNPJ!$A$2:$D$1048576,4,0)</f>
        <v>#N/A</v>
      </c>
      <c r="G23" t="str">
        <f>_xlfn.CONCAT("Código de negociação da B3: ",A23," Quantidado no final no ano: ",C23," Preço médio: R$ ",D23," Custo total: R$ ",E23)</f>
        <v>Código de negociação da B3: RBVA11 Quantidado no final no ano: 60 Preço médio: R$ 123,46 Custo total: R$ 7407,6</v>
      </c>
    </row>
    <row r="24" spans="1:7">
      <c r="A24" t="s">
        <v>63</v>
      </c>
      <c r="B24" t="e">
        <f>VLOOKUP(A24,CNPJ!$A$2:$D$1048576,3,0)</f>
        <v>#N/A</v>
      </c>
      <c r="C24">
        <f>SUMIFS(Historico!D:D,Historico!C:C,Principal!A24,Historico!B:B,"C")-SUMIFS(Historico!D:D,Historico!C:C,Principal!A24,Historico!B:B,"V")</f>
        <v>30</v>
      </c>
      <c r="D24" s="31">
        <f>ROUND((SUMIFS(Historico!F:F,Historico!C:C,Principal!A24,Historico!B:B,"C")/SUMIFS(Historico!D:D,Historico!B:B,"C",Historico!C:C,Principal!A24)),2)</f>
        <v>124.47</v>
      </c>
      <c r="E24" s="31">
        <f>ROUND(C24*D24,2)</f>
        <v>3734.1</v>
      </c>
      <c r="F24" t="e">
        <f>VLOOKUP(A24,CNPJ!$A$2:$D$1048576,4,0)</f>
        <v>#N/A</v>
      </c>
      <c r="G24" t="str">
        <f>_xlfn.CONCAT("Código de negociação da B3: ",A24," Quantidado no final no ano: ",C24," Preço médio: R$ ",D24," Custo total: R$ ",E24)</f>
        <v>Código de negociação da B3: XPLG11 Quantidado no final no ano: 30 Preço médio: R$ 124,47 Custo total: R$ 3734,1</v>
      </c>
    </row>
    <row r="25" spans="1:7">
      <c r="A25" t="s">
        <v>41</v>
      </c>
      <c r="B25" t="e">
        <f>VLOOKUP(A25,CNPJ!$A$2:$D$1048576,3,0)</f>
        <v>#N/A</v>
      </c>
      <c r="C25">
        <f>SUMIFS(Historico!D:D,Historico!C:C,Principal!A25,Historico!B:B,"C")-SUMIFS(Historico!D:D,Historico!C:C,Principal!A25,Historico!B:B,"V")</f>
        <v>0</v>
      </c>
      <c r="D25" s="31">
        <f>ROUND((SUMIFS(Historico!F:F,Historico!C:C,Principal!A25,Historico!B:B,"C")/SUMIFS(Historico!D:D,Historico!B:B,"C",Historico!C:C,Principal!A25)),2)</f>
        <v>130</v>
      </c>
      <c r="E25" s="31">
        <f>ROUND(C25*D25,2)</f>
        <v>0</v>
      </c>
      <c r="F25" t="e">
        <f>VLOOKUP(A25,CNPJ!$A$2:$D$1048576,4,0)</f>
        <v>#N/A</v>
      </c>
      <c r="G25" t="str">
        <f>_xlfn.CONCAT("Código de negociação da B3: ",A25," Quantidado no final no ano: ",C25," Preço médio: R$ ",D25," Custo total: R$ ",E25)</f>
        <v>Código de negociação da B3: IVVB11 Quantidado no final no ano: 0 Preço médio: R$ 130 Custo total: R$ 0</v>
      </c>
    </row>
    <row r="26" spans="1:7">
      <c r="A26" t="s">
        <v>26</v>
      </c>
      <c r="B26" t="e">
        <f>VLOOKUP(A26,CNPJ!$A$2:$D$1048576,3,0)</f>
        <v>#N/A</v>
      </c>
      <c r="C26">
        <f>SUMIFS(Historico!D:D,Historico!C:C,Principal!A26,Historico!B:B,"C")-SUMIFS(Historico!D:D,Historico!C:C,Principal!A26,Historico!B:B,"V")</f>
        <v>20</v>
      </c>
      <c r="D26" s="31">
        <f>ROUND((SUMIFS(Historico!F:F,Historico!C:C,Principal!A26,Historico!B:B,"C")/SUMIFS(Historico!D:D,Historico!B:B,"C",Historico!C:C,Principal!A26)),2)</f>
        <v>184.59</v>
      </c>
      <c r="E26" s="31">
        <f>ROUND(C26*D26,2)</f>
        <v>3691.8</v>
      </c>
      <c r="F26" t="e">
        <f>VLOOKUP(A26,CNPJ!$A$2:$D$1048576,4,0)</f>
        <v>#N/A</v>
      </c>
      <c r="G26" t="str">
        <f>_xlfn.CONCAT("Código de negociação da B3: ",A26," Quantidado no final no ano: ",C26," Preço médio: R$ ",D26," Custo total: R$ ",E26)</f>
        <v>Código de negociação da B3: HGLG11 Quantidado no final no ano: 20 Preço médio: R$ 184,59 Custo total: R$ 3691,8</v>
      </c>
    </row>
    <row r="32" spans="1:7">
      <c r="D32" s="3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4C362-4A6A-4794-9BD7-17507B5C1899}">
  <sheetPr codeName="Planilha2"/>
  <dimension ref="A1:N61"/>
  <sheetViews>
    <sheetView workbookViewId="0">
      <selection activeCell="E11" sqref="E11"/>
    </sheetView>
  </sheetViews>
  <sheetFormatPr defaultRowHeight="14.5"/>
  <cols>
    <col min="1" max="1" width="1.36328125" style="2" customWidth="1"/>
    <col min="2" max="2" width="1.81640625" style="2" customWidth="1"/>
    <col min="3" max="3" width="7.90625" style="2" customWidth="1"/>
    <col min="4" max="4" width="3.90625" style="2" customWidth="1"/>
    <col min="5" max="5" width="7.81640625" style="2" customWidth="1"/>
    <col min="6" max="6" width="8.26953125" style="2" customWidth="1"/>
    <col min="7" max="7" width="10.7265625" style="2" customWidth="1"/>
    <col min="8" max="8" width="20.81640625" style="2" customWidth="1"/>
    <col min="9" max="9" width="9.7265625" style="2" customWidth="1"/>
    <col min="10" max="10" width="8.26953125" style="2" customWidth="1"/>
    <col min="11" max="11" width="11.54296875" style="2" customWidth="1"/>
    <col min="12" max="12" width="0.90625" style="2" customWidth="1"/>
    <col min="13" max="13" width="1.36328125" style="2" customWidth="1"/>
    <col min="14" max="14" width="0.1796875" style="2" customWidth="1"/>
    <col min="15" max="256" width="8.7265625" style="2"/>
    <col min="257" max="257" width="1.36328125" style="2" customWidth="1"/>
    <col min="258" max="258" width="1.81640625" style="2" customWidth="1"/>
    <col min="259" max="259" width="7.90625" style="2" customWidth="1"/>
    <col min="260" max="260" width="3.90625" style="2" customWidth="1"/>
    <col min="261" max="261" width="7.81640625" style="2" customWidth="1"/>
    <col min="262" max="262" width="8.26953125" style="2" customWidth="1"/>
    <col min="263" max="263" width="10.7265625" style="2" customWidth="1"/>
    <col min="264" max="264" width="20.81640625" style="2" customWidth="1"/>
    <col min="265" max="265" width="9.7265625" style="2" customWidth="1"/>
    <col min="266" max="266" width="8.26953125" style="2" customWidth="1"/>
    <col min="267" max="267" width="11.54296875" style="2" customWidth="1"/>
    <col min="268" max="268" width="0.90625" style="2" customWidth="1"/>
    <col min="269" max="269" width="1.36328125" style="2" customWidth="1"/>
    <col min="270" max="270" width="0.1796875" style="2" customWidth="1"/>
    <col min="271" max="512" width="8.7265625" style="2"/>
    <col min="513" max="513" width="1.36328125" style="2" customWidth="1"/>
    <col min="514" max="514" width="1.81640625" style="2" customWidth="1"/>
    <col min="515" max="515" width="7.90625" style="2" customWidth="1"/>
    <col min="516" max="516" width="3.90625" style="2" customWidth="1"/>
    <col min="517" max="517" width="7.81640625" style="2" customWidth="1"/>
    <col min="518" max="518" width="8.26953125" style="2" customWidth="1"/>
    <col min="519" max="519" width="10.7265625" style="2" customWidth="1"/>
    <col min="520" max="520" width="20.81640625" style="2" customWidth="1"/>
    <col min="521" max="521" width="9.7265625" style="2" customWidth="1"/>
    <col min="522" max="522" width="8.26953125" style="2" customWidth="1"/>
    <col min="523" max="523" width="11.54296875" style="2" customWidth="1"/>
    <col min="524" max="524" width="0.90625" style="2" customWidth="1"/>
    <col min="525" max="525" width="1.36328125" style="2" customWidth="1"/>
    <col min="526" max="526" width="0.1796875" style="2" customWidth="1"/>
    <col min="527" max="768" width="8.7265625" style="2"/>
    <col min="769" max="769" width="1.36328125" style="2" customWidth="1"/>
    <col min="770" max="770" width="1.81640625" style="2" customWidth="1"/>
    <col min="771" max="771" width="7.90625" style="2" customWidth="1"/>
    <col min="772" max="772" width="3.90625" style="2" customWidth="1"/>
    <col min="773" max="773" width="7.81640625" style="2" customWidth="1"/>
    <col min="774" max="774" width="8.26953125" style="2" customWidth="1"/>
    <col min="775" max="775" width="10.7265625" style="2" customWidth="1"/>
    <col min="776" max="776" width="20.81640625" style="2" customWidth="1"/>
    <col min="777" max="777" width="9.7265625" style="2" customWidth="1"/>
    <col min="778" max="778" width="8.26953125" style="2" customWidth="1"/>
    <col min="779" max="779" width="11.54296875" style="2" customWidth="1"/>
    <col min="780" max="780" width="0.90625" style="2" customWidth="1"/>
    <col min="781" max="781" width="1.36328125" style="2" customWidth="1"/>
    <col min="782" max="782" width="0.1796875" style="2" customWidth="1"/>
    <col min="783" max="1024" width="8.7265625" style="2"/>
    <col min="1025" max="1025" width="1.36328125" style="2" customWidth="1"/>
    <col min="1026" max="1026" width="1.81640625" style="2" customWidth="1"/>
    <col min="1027" max="1027" width="7.90625" style="2" customWidth="1"/>
    <col min="1028" max="1028" width="3.90625" style="2" customWidth="1"/>
    <col min="1029" max="1029" width="7.81640625" style="2" customWidth="1"/>
    <col min="1030" max="1030" width="8.26953125" style="2" customWidth="1"/>
    <col min="1031" max="1031" width="10.7265625" style="2" customWidth="1"/>
    <col min="1032" max="1032" width="20.81640625" style="2" customWidth="1"/>
    <col min="1033" max="1033" width="9.7265625" style="2" customWidth="1"/>
    <col min="1034" max="1034" width="8.26953125" style="2" customWidth="1"/>
    <col min="1035" max="1035" width="11.54296875" style="2" customWidth="1"/>
    <col min="1036" max="1036" width="0.90625" style="2" customWidth="1"/>
    <col min="1037" max="1037" width="1.36328125" style="2" customWidth="1"/>
    <col min="1038" max="1038" width="0.1796875" style="2" customWidth="1"/>
    <col min="1039" max="1280" width="8.7265625" style="2"/>
    <col min="1281" max="1281" width="1.36328125" style="2" customWidth="1"/>
    <col min="1282" max="1282" width="1.81640625" style="2" customWidth="1"/>
    <col min="1283" max="1283" width="7.90625" style="2" customWidth="1"/>
    <col min="1284" max="1284" width="3.90625" style="2" customWidth="1"/>
    <col min="1285" max="1285" width="7.81640625" style="2" customWidth="1"/>
    <col min="1286" max="1286" width="8.26953125" style="2" customWidth="1"/>
    <col min="1287" max="1287" width="10.7265625" style="2" customWidth="1"/>
    <col min="1288" max="1288" width="20.81640625" style="2" customWidth="1"/>
    <col min="1289" max="1289" width="9.7265625" style="2" customWidth="1"/>
    <col min="1290" max="1290" width="8.26953125" style="2" customWidth="1"/>
    <col min="1291" max="1291" width="11.54296875" style="2" customWidth="1"/>
    <col min="1292" max="1292" width="0.90625" style="2" customWidth="1"/>
    <col min="1293" max="1293" width="1.36328125" style="2" customWidth="1"/>
    <col min="1294" max="1294" width="0.1796875" style="2" customWidth="1"/>
    <col min="1295" max="1536" width="8.7265625" style="2"/>
    <col min="1537" max="1537" width="1.36328125" style="2" customWidth="1"/>
    <col min="1538" max="1538" width="1.81640625" style="2" customWidth="1"/>
    <col min="1539" max="1539" width="7.90625" style="2" customWidth="1"/>
    <col min="1540" max="1540" width="3.90625" style="2" customWidth="1"/>
    <col min="1541" max="1541" width="7.81640625" style="2" customWidth="1"/>
    <col min="1542" max="1542" width="8.26953125" style="2" customWidth="1"/>
    <col min="1543" max="1543" width="10.7265625" style="2" customWidth="1"/>
    <col min="1544" max="1544" width="20.81640625" style="2" customWidth="1"/>
    <col min="1545" max="1545" width="9.7265625" style="2" customWidth="1"/>
    <col min="1546" max="1546" width="8.26953125" style="2" customWidth="1"/>
    <col min="1547" max="1547" width="11.54296875" style="2" customWidth="1"/>
    <col min="1548" max="1548" width="0.90625" style="2" customWidth="1"/>
    <col min="1549" max="1549" width="1.36328125" style="2" customWidth="1"/>
    <col min="1550" max="1550" width="0.1796875" style="2" customWidth="1"/>
    <col min="1551" max="1792" width="8.7265625" style="2"/>
    <col min="1793" max="1793" width="1.36328125" style="2" customWidth="1"/>
    <col min="1794" max="1794" width="1.81640625" style="2" customWidth="1"/>
    <col min="1795" max="1795" width="7.90625" style="2" customWidth="1"/>
    <col min="1796" max="1796" width="3.90625" style="2" customWidth="1"/>
    <col min="1797" max="1797" width="7.81640625" style="2" customWidth="1"/>
    <col min="1798" max="1798" width="8.26953125" style="2" customWidth="1"/>
    <col min="1799" max="1799" width="10.7265625" style="2" customWidth="1"/>
    <col min="1800" max="1800" width="20.81640625" style="2" customWidth="1"/>
    <col min="1801" max="1801" width="9.7265625" style="2" customWidth="1"/>
    <col min="1802" max="1802" width="8.26953125" style="2" customWidth="1"/>
    <col min="1803" max="1803" width="11.54296875" style="2" customWidth="1"/>
    <col min="1804" max="1804" width="0.90625" style="2" customWidth="1"/>
    <col min="1805" max="1805" width="1.36328125" style="2" customWidth="1"/>
    <col min="1806" max="1806" width="0.1796875" style="2" customWidth="1"/>
    <col min="1807" max="2048" width="8.7265625" style="2"/>
    <col min="2049" max="2049" width="1.36328125" style="2" customWidth="1"/>
    <col min="2050" max="2050" width="1.81640625" style="2" customWidth="1"/>
    <col min="2051" max="2051" width="7.90625" style="2" customWidth="1"/>
    <col min="2052" max="2052" width="3.90625" style="2" customWidth="1"/>
    <col min="2053" max="2053" width="7.81640625" style="2" customWidth="1"/>
    <col min="2054" max="2054" width="8.26953125" style="2" customWidth="1"/>
    <col min="2055" max="2055" width="10.7265625" style="2" customWidth="1"/>
    <col min="2056" max="2056" width="20.81640625" style="2" customWidth="1"/>
    <col min="2057" max="2057" width="9.7265625" style="2" customWidth="1"/>
    <col min="2058" max="2058" width="8.26953125" style="2" customWidth="1"/>
    <col min="2059" max="2059" width="11.54296875" style="2" customWidth="1"/>
    <col min="2060" max="2060" width="0.90625" style="2" customWidth="1"/>
    <col min="2061" max="2061" width="1.36328125" style="2" customWidth="1"/>
    <col min="2062" max="2062" width="0.1796875" style="2" customWidth="1"/>
    <col min="2063" max="2304" width="8.7265625" style="2"/>
    <col min="2305" max="2305" width="1.36328125" style="2" customWidth="1"/>
    <col min="2306" max="2306" width="1.81640625" style="2" customWidth="1"/>
    <col min="2307" max="2307" width="7.90625" style="2" customWidth="1"/>
    <col min="2308" max="2308" width="3.90625" style="2" customWidth="1"/>
    <col min="2309" max="2309" width="7.81640625" style="2" customWidth="1"/>
    <col min="2310" max="2310" width="8.26953125" style="2" customWidth="1"/>
    <col min="2311" max="2311" width="10.7265625" style="2" customWidth="1"/>
    <col min="2312" max="2312" width="20.81640625" style="2" customWidth="1"/>
    <col min="2313" max="2313" width="9.7265625" style="2" customWidth="1"/>
    <col min="2314" max="2314" width="8.26953125" style="2" customWidth="1"/>
    <col min="2315" max="2315" width="11.54296875" style="2" customWidth="1"/>
    <col min="2316" max="2316" width="0.90625" style="2" customWidth="1"/>
    <col min="2317" max="2317" width="1.36328125" style="2" customWidth="1"/>
    <col min="2318" max="2318" width="0.1796875" style="2" customWidth="1"/>
    <col min="2319" max="2560" width="8.7265625" style="2"/>
    <col min="2561" max="2561" width="1.36328125" style="2" customWidth="1"/>
    <col min="2562" max="2562" width="1.81640625" style="2" customWidth="1"/>
    <col min="2563" max="2563" width="7.90625" style="2" customWidth="1"/>
    <col min="2564" max="2564" width="3.90625" style="2" customWidth="1"/>
    <col min="2565" max="2565" width="7.81640625" style="2" customWidth="1"/>
    <col min="2566" max="2566" width="8.26953125" style="2" customWidth="1"/>
    <col min="2567" max="2567" width="10.7265625" style="2" customWidth="1"/>
    <col min="2568" max="2568" width="20.81640625" style="2" customWidth="1"/>
    <col min="2569" max="2569" width="9.7265625" style="2" customWidth="1"/>
    <col min="2570" max="2570" width="8.26953125" style="2" customWidth="1"/>
    <col min="2571" max="2571" width="11.54296875" style="2" customWidth="1"/>
    <col min="2572" max="2572" width="0.90625" style="2" customWidth="1"/>
    <col min="2573" max="2573" width="1.36328125" style="2" customWidth="1"/>
    <col min="2574" max="2574" width="0.1796875" style="2" customWidth="1"/>
    <col min="2575" max="2816" width="8.7265625" style="2"/>
    <col min="2817" max="2817" width="1.36328125" style="2" customWidth="1"/>
    <col min="2818" max="2818" width="1.81640625" style="2" customWidth="1"/>
    <col min="2819" max="2819" width="7.90625" style="2" customWidth="1"/>
    <col min="2820" max="2820" width="3.90625" style="2" customWidth="1"/>
    <col min="2821" max="2821" width="7.81640625" style="2" customWidth="1"/>
    <col min="2822" max="2822" width="8.26953125" style="2" customWidth="1"/>
    <col min="2823" max="2823" width="10.7265625" style="2" customWidth="1"/>
    <col min="2824" max="2824" width="20.81640625" style="2" customWidth="1"/>
    <col min="2825" max="2825" width="9.7265625" style="2" customWidth="1"/>
    <col min="2826" max="2826" width="8.26953125" style="2" customWidth="1"/>
    <col min="2827" max="2827" width="11.54296875" style="2" customWidth="1"/>
    <col min="2828" max="2828" width="0.90625" style="2" customWidth="1"/>
    <col min="2829" max="2829" width="1.36328125" style="2" customWidth="1"/>
    <col min="2830" max="2830" width="0.1796875" style="2" customWidth="1"/>
    <col min="2831" max="3072" width="8.7265625" style="2"/>
    <col min="3073" max="3073" width="1.36328125" style="2" customWidth="1"/>
    <col min="3074" max="3074" width="1.81640625" style="2" customWidth="1"/>
    <col min="3075" max="3075" width="7.90625" style="2" customWidth="1"/>
    <col min="3076" max="3076" width="3.90625" style="2" customWidth="1"/>
    <col min="3077" max="3077" width="7.81640625" style="2" customWidth="1"/>
    <col min="3078" max="3078" width="8.26953125" style="2" customWidth="1"/>
    <col min="3079" max="3079" width="10.7265625" style="2" customWidth="1"/>
    <col min="3080" max="3080" width="20.81640625" style="2" customWidth="1"/>
    <col min="3081" max="3081" width="9.7265625" style="2" customWidth="1"/>
    <col min="3082" max="3082" width="8.26953125" style="2" customWidth="1"/>
    <col min="3083" max="3083" width="11.54296875" style="2" customWidth="1"/>
    <col min="3084" max="3084" width="0.90625" style="2" customWidth="1"/>
    <col min="3085" max="3085" width="1.36328125" style="2" customWidth="1"/>
    <col min="3086" max="3086" width="0.1796875" style="2" customWidth="1"/>
    <col min="3087" max="3328" width="8.7265625" style="2"/>
    <col min="3329" max="3329" width="1.36328125" style="2" customWidth="1"/>
    <col min="3330" max="3330" width="1.81640625" style="2" customWidth="1"/>
    <col min="3331" max="3331" width="7.90625" style="2" customWidth="1"/>
    <col min="3332" max="3332" width="3.90625" style="2" customWidth="1"/>
    <col min="3333" max="3333" width="7.81640625" style="2" customWidth="1"/>
    <col min="3334" max="3334" width="8.26953125" style="2" customWidth="1"/>
    <col min="3335" max="3335" width="10.7265625" style="2" customWidth="1"/>
    <col min="3336" max="3336" width="20.81640625" style="2" customWidth="1"/>
    <col min="3337" max="3337" width="9.7265625" style="2" customWidth="1"/>
    <col min="3338" max="3338" width="8.26953125" style="2" customWidth="1"/>
    <col min="3339" max="3339" width="11.54296875" style="2" customWidth="1"/>
    <col min="3340" max="3340" width="0.90625" style="2" customWidth="1"/>
    <col min="3341" max="3341" width="1.36328125" style="2" customWidth="1"/>
    <col min="3342" max="3342" width="0.1796875" style="2" customWidth="1"/>
    <col min="3343" max="3584" width="8.7265625" style="2"/>
    <col min="3585" max="3585" width="1.36328125" style="2" customWidth="1"/>
    <col min="3586" max="3586" width="1.81640625" style="2" customWidth="1"/>
    <col min="3587" max="3587" width="7.90625" style="2" customWidth="1"/>
    <col min="3588" max="3588" width="3.90625" style="2" customWidth="1"/>
    <col min="3589" max="3589" width="7.81640625" style="2" customWidth="1"/>
    <col min="3590" max="3590" width="8.26953125" style="2" customWidth="1"/>
    <col min="3591" max="3591" width="10.7265625" style="2" customWidth="1"/>
    <col min="3592" max="3592" width="20.81640625" style="2" customWidth="1"/>
    <col min="3593" max="3593" width="9.7265625" style="2" customWidth="1"/>
    <col min="3594" max="3594" width="8.26953125" style="2" customWidth="1"/>
    <col min="3595" max="3595" width="11.54296875" style="2" customWidth="1"/>
    <col min="3596" max="3596" width="0.90625" style="2" customWidth="1"/>
    <col min="3597" max="3597" width="1.36328125" style="2" customWidth="1"/>
    <col min="3598" max="3598" width="0.1796875" style="2" customWidth="1"/>
    <col min="3599" max="3840" width="8.7265625" style="2"/>
    <col min="3841" max="3841" width="1.36328125" style="2" customWidth="1"/>
    <col min="3842" max="3842" width="1.81640625" style="2" customWidth="1"/>
    <col min="3843" max="3843" width="7.90625" style="2" customWidth="1"/>
    <col min="3844" max="3844" width="3.90625" style="2" customWidth="1"/>
    <col min="3845" max="3845" width="7.81640625" style="2" customWidth="1"/>
    <col min="3846" max="3846" width="8.26953125" style="2" customWidth="1"/>
    <col min="3847" max="3847" width="10.7265625" style="2" customWidth="1"/>
    <col min="3848" max="3848" width="20.81640625" style="2" customWidth="1"/>
    <col min="3849" max="3849" width="9.7265625" style="2" customWidth="1"/>
    <col min="3850" max="3850" width="8.26953125" style="2" customWidth="1"/>
    <col min="3851" max="3851" width="11.54296875" style="2" customWidth="1"/>
    <col min="3852" max="3852" width="0.90625" style="2" customWidth="1"/>
    <col min="3853" max="3853" width="1.36328125" style="2" customWidth="1"/>
    <col min="3854" max="3854" width="0.1796875" style="2" customWidth="1"/>
    <col min="3855" max="4096" width="8.7265625" style="2"/>
    <col min="4097" max="4097" width="1.36328125" style="2" customWidth="1"/>
    <col min="4098" max="4098" width="1.81640625" style="2" customWidth="1"/>
    <col min="4099" max="4099" width="7.90625" style="2" customWidth="1"/>
    <col min="4100" max="4100" width="3.90625" style="2" customWidth="1"/>
    <col min="4101" max="4101" width="7.81640625" style="2" customWidth="1"/>
    <col min="4102" max="4102" width="8.26953125" style="2" customWidth="1"/>
    <col min="4103" max="4103" width="10.7265625" style="2" customWidth="1"/>
    <col min="4104" max="4104" width="20.81640625" style="2" customWidth="1"/>
    <col min="4105" max="4105" width="9.7265625" style="2" customWidth="1"/>
    <col min="4106" max="4106" width="8.26953125" style="2" customWidth="1"/>
    <col min="4107" max="4107" width="11.54296875" style="2" customWidth="1"/>
    <col min="4108" max="4108" width="0.90625" style="2" customWidth="1"/>
    <col min="4109" max="4109" width="1.36328125" style="2" customWidth="1"/>
    <col min="4110" max="4110" width="0.1796875" style="2" customWidth="1"/>
    <col min="4111" max="4352" width="8.7265625" style="2"/>
    <col min="4353" max="4353" width="1.36328125" style="2" customWidth="1"/>
    <col min="4354" max="4354" width="1.81640625" style="2" customWidth="1"/>
    <col min="4355" max="4355" width="7.90625" style="2" customWidth="1"/>
    <col min="4356" max="4356" width="3.90625" style="2" customWidth="1"/>
    <col min="4357" max="4357" width="7.81640625" style="2" customWidth="1"/>
    <col min="4358" max="4358" width="8.26953125" style="2" customWidth="1"/>
    <col min="4359" max="4359" width="10.7265625" style="2" customWidth="1"/>
    <col min="4360" max="4360" width="20.81640625" style="2" customWidth="1"/>
    <col min="4361" max="4361" width="9.7265625" style="2" customWidth="1"/>
    <col min="4362" max="4362" width="8.26953125" style="2" customWidth="1"/>
    <col min="4363" max="4363" width="11.54296875" style="2" customWidth="1"/>
    <col min="4364" max="4364" width="0.90625" style="2" customWidth="1"/>
    <col min="4365" max="4365" width="1.36328125" style="2" customWidth="1"/>
    <col min="4366" max="4366" width="0.1796875" style="2" customWidth="1"/>
    <col min="4367" max="4608" width="8.7265625" style="2"/>
    <col min="4609" max="4609" width="1.36328125" style="2" customWidth="1"/>
    <col min="4610" max="4610" width="1.81640625" style="2" customWidth="1"/>
    <col min="4611" max="4611" width="7.90625" style="2" customWidth="1"/>
    <col min="4612" max="4612" width="3.90625" style="2" customWidth="1"/>
    <col min="4613" max="4613" width="7.81640625" style="2" customWidth="1"/>
    <col min="4614" max="4614" width="8.26953125" style="2" customWidth="1"/>
    <col min="4615" max="4615" width="10.7265625" style="2" customWidth="1"/>
    <col min="4616" max="4616" width="20.81640625" style="2" customWidth="1"/>
    <col min="4617" max="4617" width="9.7265625" style="2" customWidth="1"/>
    <col min="4618" max="4618" width="8.26953125" style="2" customWidth="1"/>
    <col min="4619" max="4619" width="11.54296875" style="2" customWidth="1"/>
    <col min="4620" max="4620" width="0.90625" style="2" customWidth="1"/>
    <col min="4621" max="4621" width="1.36328125" style="2" customWidth="1"/>
    <col min="4622" max="4622" width="0.1796875" style="2" customWidth="1"/>
    <col min="4623" max="4864" width="8.7265625" style="2"/>
    <col min="4865" max="4865" width="1.36328125" style="2" customWidth="1"/>
    <col min="4866" max="4866" width="1.81640625" style="2" customWidth="1"/>
    <col min="4867" max="4867" width="7.90625" style="2" customWidth="1"/>
    <col min="4868" max="4868" width="3.90625" style="2" customWidth="1"/>
    <col min="4869" max="4869" width="7.81640625" style="2" customWidth="1"/>
    <col min="4870" max="4870" width="8.26953125" style="2" customWidth="1"/>
    <col min="4871" max="4871" width="10.7265625" style="2" customWidth="1"/>
    <col min="4872" max="4872" width="20.81640625" style="2" customWidth="1"/>
    <col min="4873" max="4873" width="9.7265625" style="2" customWidth="1"/>
    <col min="4874" max="4874" width="8.26953125" style="2" customWidth="1"/>
    <col min="4875" max="4875" width="11.54296875" style="2" customWidth="1"/>
    <col min="4876" max="4876" width="0.90625" style="2" customWidth="1"/>
    <col min="4877" max="4877" width="1.36328125" style="2" customWidth="1"/>
    <col min="4878" max="4878" width="0.1796875" style="2" customWidth="1"/>
    <col min="4879" max="5120" width="8.7265625" style="2"/>
    <col min="5121" max="5121" width="1.36328125" style="2" customWidth="1"/>
    <col min="5122" max="5122" width="1.81640625" style="2" customWidth="1"/>
    <col min="5123" max="5123" width="7.90625" style="2" customWidth="1"/>
    <col min="5124" max="5124" width="3.90625" style="2" customWidth="1"/>
    <col min="5125" max="5125" width="7.81640625" style="2" customWidth="1"/>
    <col min="5126" max="5126" width="8.26953125" style="2" customWidth="1"/>
    <col min="5127" max="5127" width="10.7265625" style="2" customWidth="1"/>
    <col min="5128" max="5128" width="20.81640625" style="2" customWidth="1"/>
    <col min="5129" max="5129" width="9.7265625" style="2" customWidth="1"/>
    <col min="5130" max="5130" width="8.26953125" style="2" customWidth="1"/>
    <col min="5131" max="5131" width="11.54296875" style="2" customWidth="1"/>
    <col min="5132" max="5132" width="0.90625" style="2" customWidth="1"/>
    <col min="5133" max="5133" width="1.36328125" style="2" customWidth="1"/>
    <col min="5134" max="5134" width="0.1796875" style="2" customWidth="1"/>
    <col min="5135" max="5376" width="8.7265625" style="2"/>
    <col min="5377" max="5377" width="1.36328125" style="2" customWidth="1"/>
    <col min="5378" max="5378" width="1.81640625" style="2" customWidth="1"/>
    <col min="5379" max="5379" width="7.90625" style="2" customWidth="1"/>
    <col min="5380" max="5380" width="3.90625" style="2" customWidth="1"/>
    <col min="5381" max="5381" width="7.81640625" style="2" customWidth="1"/>
    <col min="5382" max="5382" width="8.26953125" style="2" customWidth="1"/>
    <col min="5383" max="5383" width="10.7265625" style="2" customWidth="1"/>
    <col min="5384" max="5384" width="20.81640625" style="2" customWidth="1"/>
    <col min="5385" max="5385" width="9.7265625" style="2" customWidth="1"/>
    <col min="5386" max="5386" width="8.26953125" style="2" customWidth="1"/>
    <col min="5387" max="5387" width="11.54296875" style="2" customWidth="1"/>
    <col min="5388" max="5388" width="0.90625" style="2" customWidth="1"/>
    <col min="5389" max="5389" width="1.36328125" style="2" customWidth="1"/>
    <col min="5390" max="5390" width="0.1796875" style="2" customWidth="1"/>
    <col min="5391" max="5632" width="8.7265625" style="2"/>
    <col min="5633" max="5633" width="1.36328125" style="2" customWidth="1"/>
    <col min="5634" max="5634" width="1.81640625" style="2" customWidth="1"/>
    <col min="5635" max="5635" width="7.90625" style="2" customWidth="1"/>
    <col min="5636" max="5636" width="3.90625" style="2" customWidth="1"/>
    <col min="5637" max="5637" width="7.81640625" style="2" customWidth="1"/>
    <col min="5638" max="5638" width="8.26953125" style="2" customWidth="1"/>
    <col min="5639" max="5639" width="10.7265625" style="2" customWidth="1"/>
    <col min="5640" max="5640" width="20.81640625" style="2" customWidth="1"/>
    <col min="5641" max="5641" width="9.7265625" style="2" customWidth="1"/>
    <col min="5642" max="5642" width="8.26953125" style="2" customWidth="1"/>
    <col min="5643" max="5643" width="11.54296875" style="2" customWidth="1"/>
    <col min="5644" max="5644" width="0.90625" style="2" customWidth="1"/>
    <col min="5645" max="5645" width="1.36328125" style="2" customWidth="1"/>
    <col min="5646" max="5646" width="0.1796875" style="2" customWidth="1"/>
    <col min="5647" max="5888" width="8.7265625" style="2"/>
    <col min="5889" max="5889" width="1.36328125" style="2" customWidth="1"/>
    <col min="5890" max="5890" width="1.81640625" style="2" customWidth="1"/>
    <col min="5891" max="5891" width="7.90625" style="2" customWidth="1"/>
    <col min="5892" max="5892" width="3.90625" style="2" customWidth="1"/>
    <col min="5893" max="5893" width="7.81640625" style="2" customWidth="1"/>
    <col min="5894" max="5894" width="8.26953125" style="2" customWidth="1"/>
    <col min="5895" max="5895" width="10.7265625" style="2" customWidth="1"/>
    <col min="5896" max="5896" width="20.81640625" style="2" customWidth="1"/>
    <col min="5897" max="5897" width="9.7265625" style="2" customWidth="1"/>
    <col min="5898" max="5898" width="8.26953125" style="2" customWidth="1"/>
    <col min="5899" max="5899" width="11.54296875" style="2" customWidth="1"/>
    <col min="5900" max="5900" width="0.90625" style="2" customWidth="1"/>
    <col min="5901" max="5901" width="1.36328125" style="2" customWidth="1"/>
    <col min="5902" max="5902" width="0.1796875" style="2" customWidth="1"/>
    <col min="5903" max="6144" width="8.7265625" style="2"/>
    <col min="6145" max="6145" width="1.36328125" style="2" customWidth="1"/>
    <col min="6146" max="6146" width="1.81640625" style="2" customWidth="1"/>
    <col min="6147" max="6147" width="7.90625" style="2" customWidth="1"/>
    <col min="6148" max="6148" width="3.90625" style="2" customWidth="1"/>
    <col min="6149" max="6149" width="7.81640625" style="2" customWidth="1"/>
    <col min="6150" max="6150" width="8.26953125" style="2" customWidth="1"/>
    <col min="6151" max="6151" width="10.7265625" style="2" customWidth="1"/>
    <col min="6152" max="6152" width="20.81640625" style="2" customWidth="1"/>
    <col min="6153" max="6153" width="9.7265625" style="2" customWidth="1"/>
    <col min="6154" max="6154" width="8.26953125" style="2" customWidth="1"/>
    <col min="6155" max="6155" width="11.54296875" style="2" customWidth="1"/>
    <col min="6156" max="6156" width="0.90625" style="2" customWidth="1"/>
    <col min="6157" max="6157" width="1.36328125" style="2" customWidth="1"/>
    <col min="6158" max="6158" width="0.1796875" style="2" customWidth="1"/>
    <col min="6159" max="6400" width="8.7265625" style="2"/>
    <col min="6401" max="6401" width="1.36328125" style="2" customWidth="1"/>
    <col min="6402" max="6402" width="1.81640625" style="2" customWidth="1"/>
    <col min="6403" max="6403" width="7.90625" style="2" customWidth="1"/>
    <col min="6404" max="6404" width="3.90625" style="2" customWidth="1"/>
    <col min="6405" max="6405" width="7.81640625" style="2" customWidth="1"/>
    <col min="6406" max="6406" width="8.26953125" style="2" customWidth="1"/>
    <col min="6407" max="6407" width="10.7265625" style="2" customWidth="1"/>
    <col min="6408" max="6408" width="20.81640625" style="2" customWidth="1"/>
    <col min="6409" max="6409" width="9.7265625" style="2" customWidth="1"/>
    <col min="6410" max="6410" width="8.26953125" style="2" customWidth="1"/>
    <col min="6411" max="6411" width="11.54296875" style="2" customWidth="1"/>
    <col min="6412" max="6412" width="0.90625" style="2" customWidth="1"/>
    <col min="6413" max="6413" width="1.36328125" style="2" customWidth="1"/>
    <col min="6414" max="6414" width="0.1796875" style="2" customWidth="1"/>
    <col min="6415" max="6656" width="8.7265625" style="2"/>
    <col min="6657" max="6657" width="1.36328125" style="2" customWidth="1"/>
    <col min="6658" max="6658" width="1.81640625" style="2" customWidth="1"/>
    <col min="6659" max="6659" width="7.90625" style="2" customWidth="1"/>
    <col min="6660" max="6660" width="3.90625" style="2" customWidth="1"/>
    <col min="6661" max="6661" width="7.81640625" style="2" customWidth="1"/>
    <col min="6662" max="6662" width="8.26953125" style="2" customWidth="1"/>
    <col min="6663" max="6663" width="10.7265625" style="2" customWidth="1"/>
    <col min="6664" max="6664" width="20.81640625" style="2" customWidth="1"/>
    <col min="6665" max="6665" width="9.7265625" style="2" customWidth="1"/>
    <col min="6666" max="6666" width="8.26953125" style="2" customWidth="1"/>
    <col min="6667" max="6667" width="11.54296875" style="2" customWidth="1"/>
    <col min="6668" max="6668" width="0.90625" style="2" customWidth="1"/>
    <col min="6669" max="6669" width="1.36328125" style="2" customWidth="1"/>
    <col min="6670" max="6670" width="0.1796875" style="2" customWidth="1"/>
    <col min="6671" max="6912" width="8.7265625" style="2"/>
    <col min="6913" max="6913" width="1.36328125" style="2" customWidth="1"/>
    <col min="6914" max="6914" width="1.81640625" style="2" customWidth="1"/>
    <col min="6915" max="6915" width="7.90625" style="2" customWidth="1"/>
    <col min="6916" max="6916" width="3.90625" style="2" customWidth="1"/>
    <col min="6917" max="6917" width="7.81640625" style="2" customWidth="1"/>
    <col min="6918" max="6918" width="8.26953125" style="2" customWidth="1"/>
    <col min="6919" max="6919" width="10.7265625" style="2" customWidth="1"/>
    <col min="6920" max="6920" width="20.81640625" style="2" customWidth="1"/>
    <col min="6921" max="6921" width="9.7265625" style="2" customWidth="1"/>
    <col min="6922" max="6922" width="8.26953125" style="2" customWidth="1"/>
    <col min="6923" max="6923" width="11.54296875" style="2" customWidth="1"/>
    <col min="6924" max="6924" width="0.90625" style="2" customWidth="1"/>
    <col min="6925" max="6925" width="1.36328125" style="2" customWidth="1"/>
    <col min="6926" max="6926" width="0.1796875" style="2" customWidth="1"/>
    <col min="6927" max="7168" width="8.7265625" style="2"/>
    <col min="7169" max="7169" width="1.36328125" style="2" customWidth="1"/>
    <col min="7170" max="7170" width="1.81640625" style="2" customWidth="1"/>
    <col min="7171" max="7171" width="7.90625" style="2" customWidth="1"/>
    <col min="7172" max="7172" width="3.90625" style="2" customWidth="1"/>
    <col min="7173" max="7173" width="7.81640625" style="2" customWidth="1"/>
    <col min="7174" max="7174" width="8.26953125" style="2" customWidth="1"/>
    <col min="7175" max="7175" width="10.7265625" style="2" customWidth="1"/>
    <col min="7176" max="7176" width="20.81640625" style="2" customWidth="1"/>
    <col min="7177" max="7177" width="9.7265625" style="2" customWidth="1"/>
    <col min="7178" max="7178" width="8.26953125" style="2" customWidth="1"/>
    <col min="7179" max="7179" width="11.54296875" style="2" customWidth="1"/>
    <col min="7180" max="7180" width="0.90625" style="2" customWidth="1"/>
    <col min="7181" max="7181" width="1.36328125" style="2" customWidth="1"/>
    <col min="7182" max="7182" width="0.1796875" style="2" customWidth="1"/>
    <col min="7183" max="7424" width="8.7265625" style="2"/>
    <col min="7425" max="7425" width="1.36328125" style="2" customWidth="1"/>
    <col min="7426" max="7426" width="1.81640625" style="2" customWidth="1"/>
    <col min="7427" max="7427" width="7.90625" style="2" customWidth="1"/>
    <col min="7428" max="7428" width="3.90625" style="2" customWidth="1"/>
    <col min="7429" max="7429" width="7.81640625" style="2" customWidth="1"/>
    <col min="7430" max="7430" width="8.26953125" style="2" customWidth="1"/>
    <col min="7431" max="7431" width="10.7265625" style="2" customWidth="1"/>
    <col min="7432" max="7432" width="20.81640625" style="2" customWidth="1"/>
    <col min="7433" max="7433" width="9.7265625" style="2" customWidth="1"/>
    <col min="7434" max="7434" width="8.26953125" style="2" customWidth="1"/>
    <col min="7435" max="7435" width="11.54296875" style="2" customWidth="1"/>
    <col min="7436" max="7436" width="0.90625" style="2" customWidth="1"/>
    <col min="7437" max="7437" width="1.36328125" style="2" customWidth="1"/>
    <col min="7438" max="7438" width="0.1796875" style="2" customWidth="1"/>
    <col min="7439" max="7680" width="8.7265625" style="2"/>
    <col min="7681" max="7681" width="1.36328125" style="2" customWidth="1"/>
    <col min="7682" max="7682" width="1.81640625" style="2" customWidth="1"/>
    <col min="7683" max="7683" width="7.90625" style="2" customWidth="1"/>
    <col min="7684" max="7684" width="3.90625" style="2" customWidth="1"/>
    <col min="7685" max="7685" width="7.81640625" style="2" customWidth="1"/>
    <col min="7686" max="7686" width="8.26953125" style="2" customWidth="1"/>
    <col min="7687" max="7687" width="10.7265625" style="2" customWidth="1"/>
    <col min="7688" max="7688" width="20.81640625" style="2" customWidth="1"/>
    <col min="7689" max="7689" width="9.7265625" style="2" customWidth="1"/>
    <col min="7690" max="7690" width="8.26953125" style="2" customWidth="1"/>
    <col min="7691" max="7691" width="11.54296875" style="2" customWidth="1"/>
    <col min="7692" max="7692" width="0.90625" style="2" customWidth="1"/>
    <col min="7693" max="7693" width="1.36328125" style="2" customWidth="1"/>
    <col min="7694" max="7694" width="0.1796875" style="2" customWidth="1"/>
    <col min="7695" max="7936" width="8.7265625" style="2"/>
    <col min="7937" max="7937" width="1.36328125" style="2" customWidth="1"/>
    <col min="7938" max="7938" width="1.81640625" style="2" customWidth="1"/>
    <col min="7939" max="7939" width="7.90625" style="2" customWidth="1"/>
    <col min="7940" max="7940" width="3.90625" style="2" customWidth="1"/>
    <col min="7941" max="7941" width="7.81640625" style="2" customWidth="1"/>
    <col min="7942" max="7942" width="8.26953125" style="2" customWidth="1"/>
    <col min="7943" max="7943" width="10.7265625" style="2" customWidth="1"/>
    <col min="7944" max="7944" width="20.81640625" style="2" customWidth="1"/>
    <col min="7945" max="7945" width="9.7265625" style="2" customWidth="1"/>
    <col min="7946" max="7946" width="8.26953125" style="2" customWidth="1"/>
    <col min="7947" max="7947" width="11.54296875" style="2" customWidth="1"/>
    <col min="7948" max="7948" width="0.90625" style="2" customWidth="1"/>
    <col min="7949" max="7949" width="1.36328125" style="2" customWidth="1"/>
    <col min="7950" max="7950" width="0.1796875" style="2" customWidth="1"/>
    <col min="7951" max="8192" width="8.7265625" style="2"/>
    <col min="8193" max="8193" width="1.36328125" style="2" customWidth="1"/>
    <col min="8194" max="8194" width="1.81640625" style="2" customWidth="1"/>
    <col min="8195" max="8195" width="7.90625" style="2" customWidth="1"/>
    <col min="8196" max="8196" width="3.90625" style="2" customWidth="1"/>
    <col min="8197" max="8197" width="7.81640625" style="2" customWidth="1"/>
    <col min="8198" max="8198" width="8.26953125" style="2" customWidth="1"/>
    <col min="8199" max="8199" width="10.7265625" style="2" customWidth="1"/>
    <col min="8200" max="8200" width="20.81640625" style="2" customWidth="1"/>
    <col min="8201" max="8201" width="9.7265625" style="2" customWidth="1"/>
    <col min="8202" max="8202" width="8.26953125" style="2" customWidth="1"/>
    <col min="8203" max="8203" width="11.54296875" style="2" customWidth="1"/>
    <col min="8204" max="8204" width="0.90625" style="2" customWidth="1"/>
    <col min="8205" max="8205" width="1.36328125" style="2" customWidth="1"/>
    <col min="8206" max="8206" width="0.1796875" style="2" customWidth="1"/>
    <col min="8207" max="8448" width="8.7265625" style="2"/>
    <col min="8449" max="8449" width="1.36328125" style="2" customWidth="1"/>
    <col min="8450" max="8450" width="1.81640625" style="2" customWidth="1"/>
    <col min="8451" max="8451" width="7.90625" style="2" customWidth="1"/>
    <col min="8452" max="8452" width="3.90625" style="2" customWidth="1"/>
    <col min="8453" max="8453" width="7.81640625" style="2" customWidth="1"/>
    <col min="8454" max="8454" width="8.26953125" style="2" customWidth="1"/>
    <col min="8455" max="8455" width="10.7265625" style="2" customWidth="1"/>
    <col min="8456" max="8456" width="20.81640625" style="2" customWidth="1"/>
    <col min="8457" max="8457" width="9.7265625" style="2" customWidth="1"/>
    <col min="8458" max="8458" width="8.26953125" style="2" customWidth="1"/>
    <col min="8459" max="8459" width="11.54296875" style="2" customWidth="1"/>
    <col min="8460" max="8460" width="0.90625" style="2" customWidth="1"/>
    <col min="8461" max="8461" width="1.36328125" style="2" customWidth="1"/>
    <col min="8462" max="8462" width="0.1796875" style="2" customWidth="1"/>
    <col min="8463" max="8704" width="8.7265625" style="2"/>
    <col min="8705" max="8705" width="1.36328125" style="2" customWidth="1"/>
    <col min="8706" max="8706" width="1.81640625" style="2" customWidth="1"/>
    <col min="8707" max="8707" width="7.90625" style="2" customWidth="1"/>
    <col min="8708" max="8708" width="3.90625" style="2" customWidth="1"/>
    <col min="8709" max="8709" width="7.81640625" style="2" customWidth="1"/>
    <col min="8710" max="8710" width="8.26953125" style="2" customWidth="1"/>
    <col min="8711" max="8711" width="10.7265625" style="2" customWidth="1"/>
    <col min="8712" max="8712" width="20.81640625" style="2" customWidth="1"/>
    <col min="8713" max="8713" width="9.7265625" style="2" customWidth="1"/>
    <col min="8714" max="8714" width="8.26953125" style="2" customWidth="1"/>
    <col min="8715" max="8715" width="11.54296875" style="2" customWidth="1"/>
    <col min="8716" max="8716" width="0.90625" style="2" customWidth="1"/>
    <col min="8717" max="8717" width="1.36328125" style="2" customWidth="1"/>
    <col min="8718" max="8718" width="0.1796875" style="2" customWidth="1"/>
    <col min="8719" max="8960" width="8.7265625" style="2"/>
    <col min="8961" max="8961" width="1.36328125" style="2" customWidth="1"/>
    <col min="8962" max="8962" width="1.81640625" style="2" customWidth="1"/>
    <col min="8963" max="8963" width="7.90625" style="2" customWidth="1"/>
    <col min="8964" max="8964" width="3.90625" style="2" customWidth="1"/>
    <col min="8965" max="8965" width="7.81640625" style="2" customWidth="1"/>
    <col min="8966" max="8966" width="8.26953125" style="2" customWidth="1"/>
    <col min="8967" max="8967" width="10.7265625" style="2" customWidth="1"/>
    <col min="8968" max="8968" width="20.81640625" style="2" customWidth="1"/>
    <col min="8969" max="8969" width="9.7265625" style="2" customWidth="1"/>
    <col min="8970" max="8970" width="8.26953125" style="2" customWidth="1"/>
    <col min="8971" max="8971" width="11.54296875" style="2" customWidth="1"/>
    <col min="8972" max="8972" width="0.90625" style="2" customWidth="1"/>
    <col min="8973" max="8973" width="1.36328125" style="2" customWidth="1"/>
    <col min="8974" max="8974" width="0.1796875" style="2" customWidth="1"/>
    <col min="8975" max="9216" width="8.7265625" style="2"/>
    <col min="9217" max="9217" width="1.36328125" style="2" customWidth="1"/>
    <col min="9218" max="9218" width="1.81640625" style="2" customWidth="1"/>
    <col min="9219" max="9219" width="7.90625" style="2" customWidth="1"/>
    <col min="9220" max="9220" width="3.90625" style="2" customWidth="1"/>
    <col min="9221" max="9221" width="7.81640625" style="2" customWidth="1"/>
    <col min="9222" max="9222" width="8.26953125" style="2" customWidth="1"/>
    <col min="9223" max="9223" width="10.7265625" style="2" customWidth="1"/>
    <col min="9224" max="9224" width="20.81640625" style="2" customWidth="1"/>
    <col min="9225" max="9225" width="9.7265625" style="2" customWidth="1"/>
    <col min="9226" max="9226" width="8.26953125" style="2" customWidth="1"/>
    <col min="9227" max="9227" width="11.54296875" style="2" customWidth="1"/>
    <col min="9228" max="9228" width="0.90625" style="2" customWidth="1"/>
    <col min="9229" max="9229" width="1.36328125" style="2" customWidth="1"/>
    <col min="9230" max="9230" width="0.1796875" style="2" customWidth="1"/>
    <col min="9231" max="9472" width="8.7265625" style="2"/>
    <col min="9473" max="9473" width="1.36328125" style="2" customWidth="1"/>
    <col min="9474" max="9474" width="1.81640625" style="2" customWidth="1"/>
    <col min="9475" max="9475" width="7.90625" style="2" customWidth="1"/>
    <col min="9476" max="9476" width="3.90625" style="2" customWidth="1"/>
    <col min="9477" max="9477" width="7.81640625" style="2" customWidth="1"/>
    <col min="9478" max="9478" width="8.26953125" style="2" customWidth="1"/>
    <col min="9479" max="9479" width="10.7265625" style="2" customWidth="1"/>
    <col min="9480" max="9480" width="20.81640625" style="2" customWidth="1"/>
    <col min="9481" max="9481" width="9.7265625" style="2" customWidth="1"/>
    <col min="9482" max="9482" width="8.26953125" style="2" customWidth="1"/>
    <col min="9483" max="9483" width="11.54296875" style="2" customWidth="1"/>
    <col min="9484" max="9484" width="0.90625" style="2" customWidth="1"/>
    <col min="9485" max="9485" width="1.36328125" style="2" customWidth="1"/>
    <col min="9486" max="9486" width="0.1796875" style="2" customWidth="1"/>
    <col min="9487" max="9728" width="8.7265625" style="2"/>
    <col min="9729" max="9729" width="1.36328125" style="2" customWidth="1"/>
    <col min="9730" max="9730" width="1.81640625" style="2" customWidth="1"/>
    <col min="9731" max="9731" width="7.90625" style="2" customWidth="1"/>
    <col min="9732" max="9732" width="3.90625" style="2" customWidth="1"/>
    <col min="9733" max="9733" width="7.81640625" style="2" customWidth="1"/>
    <col min="9734" max="9734" width="8.26953125" style="2" customWidth="1"/>
    <col min="9735" max="9735" width="10.7265625" style="2" customWidth="1"/>
    <col min="9736" max="9736" width="20.81640625" style="2" customWidth="1"/>
    <col min="9737" max="9737" width="9.7265625" style="2" customWidth="1"/>
    <col min="9738" max="9738" width="8.26953125" style="2" customWidth="1"/>
    <col min="9739" max="9739" width="11.54296875" style="2" customWidth="1"/>
    <col min="9740" max="9740" width="0.90625" style="2" customWidth="1"/>
    <col min="9741" max="9741" width="1.36328125" style="2" customWidth="1"/>
    <col min="9742" max="9742" width="0.1796875" style="2" customWidth="1"/>
    <col min="9743" max="9984" width="8.7265625" style="2"/>
    <col min="9985" max="9985" width="1.36328125" style="2" customWidth="1"/>
    <col min="9986" max="9986" width="1.81640625" style="2" customWidth="1"/>
    <col min="9987" max="9987" width="7.90625" style="2" customWidth="1"/>
    <col min="9988" max="9988" width="3.90625" style="2" customWidth="1"/>
    <col min="9989" max="9989" width="7.81640625" style="2" customWidth="1"/>
    <col min="9990" max="9990" width="8.26953125" style="2" customWidth="1"/>
    <col min="9991" max="9991" width="10.7265625" style="2" customWidth="1"/>
    <col min="9992" max="9992" width="20.81640625" style="2" customWidth="1"/>
    <col min="9993" max="9993" width="9.7265625" style="2" customWidth="1"/>
    <col min="9994" max="9994" width="8.26953125" style="2" customWidth="1"/>
    <col min="9995" max="9995" width="11.54296875" style="2" customWidth="1"/>
    <col min="9996" max="9996" width="0.90625" style="2" customWidth="1"/>
    <col min="9997" max="9997" width="1.36328125" style="2" customWidth="1"/>
    <col min="9998" max="9998" width="0.1796875" style="2" customWidth="1"/>
    <col min="9999" max="10240" width="8.7265625" style="2"/>
    <col min="10241" max="10241" width="1.36328125" style="2" customWidth="1"/>
    <col min="10242" max="10242" width="1.81640625" style="2" customWidth="1"/>
    <col min="10243" max="10243" width="7.90625" style="2" customWidth="1"/>
    <col min="10244" max="10244" width="3.90625" style="2" customWidth="1"/>
    <col min="10245" max="10245" width="7.81640625" style="2" customWidth="1"/>
    <col min="10246" max="10246" width="8.26953125" style="2" customWidth="1"/>
    <col min="10247" max="10247" width="10.7265625" style="2" customWidth="1"/>
    <col min="10248" max="10248" width="20.81640625" style="2" customWidth="1"/>
    <col min="10249" max="10249" width="9.7265625" style="2" customWidth="1"/>
    <col min="10250" max="10250" width="8.26953125" style="2" customWidth="1"/>
    <col min="10251" max="10251" width="11.54296875" style="2" customWidth="1"/>
    <col min="10252" max="10252" width="0.90625" style="2" customWidth="1"/>
    <col min="10253" max="10253" width="1.36328125" style="2" customWidth="1"/>
    <col min="10254" max="10254" width="0.1796875" style="2" customWidth="1"/>
    <col min="10255" max="10496" width="8.7265625" style="2"/>
    <col min="10497" max="10497" width="1.36328125" style="2" customWidth="1"/>
    <col min="10498" max="10498" width="1.81640625" style="2" customWidth="1"/>
    <col min="10499" max="10499" width="7.90625" style="2" customWidth="1"/>
    <col min="10500" max="10500" width="3.90625" style="2" customWidth="1"/>
    <col min="10501" max="10501" width="7.81640625" style="2" customWidth="1"/>
    <col min="10502" max="10502" width="8.26953125" style="2" customWidth="1"/>
    <col min="10503" max="10503" width="10.7265625" style="2" customWidth="1"/>
    <col min="10504" max="10504" width="20.81640625" style="2" customWidth="1"/>
    <col min="10505" max="10505" width="9.7265625" style="2" customWidth="1"/>
    <col min="10506" max="10506" width="8.26953125" style="2" customWidth="1"/>
    <col min="10507" max="10507" width="11.54296875" style="2" customWidth="1"/>
    <col min="10508" max="10508" width="0.90625" style="2" customWidth="1"/>
    <col min="10509" max="10509" width="1.36328125" style="2" customWidth="1"/>
    <col min="10510" max="10510" width="0.1796875" style="2" customWidth="1"/>
    <col min="10511" max="10752" width="8.7265625" style="2"/>
    <col min="10753" max="10753" width="1.36328125" style="2" customWidth="1"/>
    <col min="10754" max="10754" width="1.81640625" style="2" customWidth="1"/>
    <col min="10755" max="10755" width="7.90625" style="2" customWidth="1"/>
    <col min="10756" max="10756" width="3.90625" style="2" customWidth="1"/>
    <col min="10757" max="10757" width="7.81640625" style="2" customWidth="1"/>
    <col min="10758" max="10758" width="8.26953125" style="2" customWidth="1"/>
    <col min="10759" max="10759" width="10.7265625" style="2" customWidth="1"/>
    <col min="10760" max="10760" width="20.81640625" style="2" customWidth="1"/>
    <col min="10761" max="10761" width="9.7265625" style="2" customWidth="1"/>
    <col min="10762" max="10762" width="8.26953125" style="2" customWidth="1"/>
    <col min="10763" max="10763" width="11.54296875" style="2" customWidth="1"/>
    <col min="10764" max="10764" width="0.90625" style="2" customWidth="1"/>
    <col min="10765" max="10765" width="1.36328125" style="2" customWidth="1"/>
    <col min="10766" max="10766" width="0.1796875" style="2" customWidth="1"/>
    <col min="10767" max="11008" width="8.7265625" style="2"/>
    <col min="11009" max="11009" width="1.36328125" style="2" customWidth="1"/>
    <col min="11010" max="11010" width="1.81640625" style="2" customWidth="1"/>
    <col min="11011" max="11011" width="7.90625" style="2" customWidth="1"/>
    <col min="11012" max="11012" width="3.90625" style="2" customWidth="1"/>
    <col min="11013" max="11013" width="7.81640625" style="2" customWidth="1"/>
    <col min="11014" max="11014" width="8.26953125" style="2" customWidth="1"/>
    <col min="11015" max="11015" width="10.7265625" style="2" customWidth="1"/>
    <col min="11016" max="11016" width="20.81640625" style="2" customWidth="1"/>
    <col min="11017" max="11017" width="9.7265625" style="2" customWidth="1"/>
    <col min="11018" max="11018" width="8.26953125" style="2" customWidth="1"/>
    <col min="11019" max="11019" width="11.54296875" style="2" customWidth="1"/>
    <col min="11020" max="11020" width="0.90625" style="2" customWidth="1"/>
    <col min="11021" max="11021" width="1.36328125" style="2" customWidth="1"/>
    <col min="11022" max="11022" width="0.1796875" style="2" customWidth="1"/>
    <col min="11023" max="11264" width="8.7265625" style="2"/>
    <col min="11265" max="11265" width="1.36328125" style="2" customWidth="1"/>
    <col min="11266" max="11266" width="1.81640625" style="2" customWidth="1"/>
    <col min="11267" max="11267" width="7.90625" style="2" customWidth="1"/>
    <col min="11268" max="11268" width="3.90625" style="2" customWidth="1"/>
    <col min="11269" max="11269" width="7.81640625" style="2" customWidth="1"/>
    <col min="11270" max="11270" width="8.26953125" style="2" customWidth="1"/>
    <col min="11271" max="11271" width="10.7265625" style="2" customWidth="1"/>
    <col min="11272" max="11272" width="20.81640625" style="2" customWidth="1"/>
    <col min="11273" max="11273" width="9.7265625" style="2" customWidth="1"/>
    <col min="11274" max="11274" width="8.26953125" style="2" customWidth="1"/>
    <col min="11275" max="11275" width="11.54296875" style="2" customWidth="1"/>
    <col min="11276" max="11276" width="0.90625" style="2" customWidth="1"/>
    <col min="11277" max="11277" width="1.36328125" style="2" customWidth="1"/>
    <col min="11278" max="11278" width="0.1796875" style="2" customWidth="1"/>
    <col min="11279" max="11520" width="8.7265625" style="2"/>
    <col min="11521" max="11521" width="1.36328125" style="2" customWidth="1"/>
    <col min="11522" max="11522" width="1.81640625" style="2" customWidth="1"/>
    <col min="11523" max="11523" width="7.90625" style="2" customWidth="1"/>
    <col min="11524" max="11524" width="3.90625" style="2" customWidth="1"/>
    <col min="11525" max="11525" width="7.81640625" style="2" customWidth="1"/>
    <col min="11526" max="11526" width="8.26953125" style="2" customWidth="1"/>
    <col min="11527" max="11527" width="10.7265625" style="2" customWidth="1"/>
    <col min="11528" max="11528" width="20.81640625" style="2" customWidth="1"/>
    <col min="11529" max="11529" width="9.7265625" style="2" customWidth="1"/>
    <col min="11530" max="11530" width="8.26953125" style="2" customWidth="1"/>
    <col min="11531" max="11531" width="11.54296875" style="2" customWidth="1"/>
    <col min="11532" max="11532" width="0.90625" style="2" customWidth="1"/>
    <col min="11533" max="11533" width="1.36328125" style="2" customWidth="1"/>
    <col min="11534" max="11534" width="0.1796875" style="2" customWidth="1"/>
    <col min="11535" max="11776" width="8.7265625" style="2"/>
    <col min="11777" max="11777" width="1.36328125" style="2" customWidth="1"/>
    <col min="11778" max="11778" width="1.81640625" style="2" customWidth="1"/>
    <col min="11779" max="11779" width="7.90625" style="2" customWidth="1"/>
    <col min="11780" max="11780" width="3.90625" style="2" customWidth="1"/>
    <col min="11781" max="11781" width="7.81640625" style="2" customWidth="1"/>
    <col min="11782" max="11782" width="8.26953125" style="2" customWidth="1"/>
    <col min="11783" max="11783" width="10.7265625" style="2" customWidth="1"/>
    <col min="11784" max="11784" width="20.81640625" style="2" customWidth="1"/>
    <col min="11785" max="11785" width="9.7265625" style="2" customWidth="1"/>
    <col min="11786" max="11786" width="8.26953125" style="2" customWidth="1"/>
    <col min="11787" max="11787" width="11.54296875" style="2" customWidth="1"/>
    <col min="11788" max="11788" width="0.90625" style="2" customWidth="1"/>
    <col min="11789" max="11789" width="1.36328125" style="2" customWidth="1"/>
    <col min="11790" max="11790" width="0.1796875" style="2" customWidth="1"/>
    <col min="11791" max="12032" width="8.7265625" style="2"/>
    <col min="12033" max="12033" width="1.36328125" style="2" customWidth="1"/>
    <col min="12034" max="12034" width="1.81640625" style="2" customWidth="1"/>
    <col min="12035" max="12035" width="7.90625" style="2" customWidth="1"/>
    <col min="12036" max="12036" width="3.90625" style="2" customWidth="1"/>
    <col min="12037" max="12037" width="7.81640625" style="2" customWidth="1"/>
    <col min="12038" max="12038" width="8.26953125" style="2" customWidth="1"/>
    <col min="12039" max="12039" width="10.7265625" style="2" customWidth="1"/>
    <col min="12040" max="12040" width="20.81640625" style="2" customWidth="1"/>
    <col min="12041" max="12041" width="9.7265625" style="2" customWidth="1"/>
    <col min="12042" max="12042" width="8.26953125" style="2" customWidth="1"/>
    <col min="12043" max="12043" width="11.54296875" style="2" customWidth="1"/>
    <col min="12044" max="12044" width="0.90625" style="2" customWidth="1"/>
    <col min="12045" max="12045" width="1.36328125" style="2" customWidth="1"/>
    <col min="12046" max="12046" width="0.1796875" style="2" customWidth="1"/>
    <col min="12047" max="12288" width="8.7265625" style="2"/>
    <col min="12289" max="12289" width="1.36328125" style="2" customWidth="1"/>
    <col min="12290" max="12290" width="1.81640625" style="2" customWidth="1"/>
    <col min="12291" max="12291" width="7.90625" style="2" customWidth="1"/>
    <col min="12292" max="12292" width="3.90625" style="2" customWidth="1"/>
    <col min="12293" max="12293" width="7.81640625" style="2" customWidth="1"/>
    <col min="12294" max="12294" width="8.26953125" style="2" customWidth="1"/>
    <col min="12295" max="12295" width="10.7265625" style="2" customWidth="1"/>
    <col min="12296" max="12296" width="20.81640625" style="2" customWidth="1"/>
    <col min="12297" max="12297" width="9.7265625" style="2" customWidth="1"/>
    <col min="12298" max="12298" width="8.26953125" style="2" customWidth="1"/>
    <col min="12299" max="12299" width="11.54296875" style="2" customWidth="1"/>
    <col min="12300" max="12300" width="0.90625" style="2" customWidth="1"/>
    <col min="12301" max="12301" width="1.36328125" style="2" customWidth="1"/>
    <col min="12302" max="12302" width="0.1796875" style="2" customWidth="1"/>
    <col min="12303" max="12544" width="8.7265625" style="2"/>
    <col min="12545" max="12545" width="1.36328125" style="2" customWidth="1"/>
    <col min="12546" max="12546" width="1.81640625" style="2" customWidth="1"/>
    <col min="12547" max="12547" width="7.90625" style="2" customWidth="1"/>
    <col min="12548" max="12548" width="3.90625" style="2" customWidth="1"/>
    <col min="12549" max="12549" width="7.81640625" style="2" customWidth="1"/>
    <col min="12550" max="12550" width="8.26953125" style="2" customWidth="1"/>
    <col min="12551" max="12551" width="10.7265625" style="2" customWidth="1"/>
    <col min="12552" max="12552" width="20.81640625" style="2" customWidth="1"/>
    <col min="12553" max="12553" width="9.7265625" style="2" customWidth="1"/>
    <col min="12554" max="12554" width="8.26953125" style="2" customWidth="1"/>
    <col min="12555" max="12555" width="11.54296875" style="2" customWidth="1"/>
    <col min="12556" max="12556" width="0.90625" style="2" customWidth="1"/>
    <col min="12557" max="12557" width="1.36328125" style="2" customWidth="1"/>
    <col min="12558" max="12558" width="0.1796875" style="2" customWidth="1"/>
    <col min="12559" max="12800" width="8.7265625" style="2"/>
    <col min="12801" max="12801" width="1.36328125" style="2" customWidth="1"/>
    <col min="12802" max="12802" width="1.81640625" style="2" customWidth="1"/>
    <col min="12803" max="12803" width="7.90625" style="2" customWidth="1"/>
    <col min="12804" max="12804" width="3.90625" style="2" customWidth="1"/>
    <col min="12805" max="12805" width="7.81640625" style="2" customWidth="1"/>
    <col min="12806" max="12806" width="8.26953125" style="2" customWidth="1"/>
    <col min="12807" max="12807" width="10.7265625" style="2" customWidth="1"/>
    <col min="12808" max="12808" width="20.81640625" style="2" customWidth="1"/>
    <col min="12809" max="12809" width="9.7265625" style="2" customWidth="1"/>
    <col min="12810" max="12810" width="8.26953125" style="2" customWidth="1"/>
    <col min="12811" max="12811" width="11.54296875" style="2" customWidth="1"/>
    <col min="12812" max="12812" width="0.90625" style="2" customWidth="1"/>
    <col min="12813" max="12813" width="1.36328125" style="2" customWidth="1"/>
    <col min="12814" max="12814" width="0.1796875" style="2" customWidth="1"/>
    <col min="12815" max="13056" width="8.7265625" style="2"/>
    <col min="13057" max="13057" width="1.36328125" style="2" customWidth="1"/>
    <col min="13058" max="13058" width="1.81640625" style="2" customWidth="1"/>
    <col min="13059" max="13059" width="7.90625" style="2" customWidth="1"/>
    <col min="13060" max="13060" width="3.90625" style="2" customWidth="1"/>
    <col min="13061" max="13061" width="7.81640625" style="2" customWidth="1"/>
    <col min="13062" max="13062" width="8.26953125" style="2" customWidth="1"/>
    <col min="13063" max="13063" width="10.7265625" style="2" customWidth="1"/>
    <col min="13064" max="13064" width="20.81640625" style="2" customWidth="1"/>
    <col min="13065" max="13065" width="9.7265625" style="2" customWidth="1"/>
    <col min="13066" max="13066" width="8.26953125" style="2" customWidth="1"/>
    <col min="13067" max="13067" width="11.54296875" style="2" customWidth="1"/>
    <col min="13068" max="13068" width="0.90625" style="2" customWidth="1"/>
    <col min="13069" max="13069" width="1.36328125" style="2" customWidth="1"/>
    <col min="13070" max="13070" width="0.1796875" style="2" customWidth="1"/>
    <col min="13071" max="13312" width="8.7265625" style="2"/>
    <col min="13313" max="13313" width="1.36328125" style="2" customWidth="1"/>
    <col min="13314" max="13314" width="1.81640625" style="2" customWidth="1"/>
    <col min="13315" max="13315" width="7.90625" style="2" customWidth="1"/>
    <col min="13316" max="13316" width="3.90625" style="2" customWidth="1"/>
    <col min="13317" max="13317" width="7.81640625" style="2" customWidth="1"/>
    <col min="13318" max="13318" width="8.26953125" style="2" customWidth="1"/>
    <col min="13319" max="13319" width="10.7265625" style="2" customWidth="1"/>
    <col min="13320" max="13320" width="20.81640625" style="2" customWidth="1"/>
    <col min="13321" max="13321" width="9.7265625" style="2" customWidth="1"/>
    <col min="13322" max="13322" width="8.26953125" style="2" customWidth="1"/>
    <col min="13323" max="13323" width="11.54296875" style="2" customWidth="1"/>
    <col min="13324" max="13324" width="0.90625" style="2" customWidth="1"/>
    <col min="13325" max="13325" width="1.36328125" style="2" customWidth="1"/>
    <col min="13326" max="13326" width="0.1796875" style="2" customWidth="1"/>
    <col min="13327" max="13568" width="8.7265625" style="2"/>
    <col min="13569" max="13569" width="1.36328125" style="2" customWidth="1"/>
    <col min="13570" max="13570" width="1.81640625" style="2" customWidth="1"/>
    <col min="13571" max="13571" width="7.90625" style="2" customWidth="1"/>
    <col min="13572" max="13572" width="3.90625" style="2" customWidth="1"/>
    <col min="13573" max="13573" width="7.81640625" style="2" customWidth="1"/>
    <col min="13574" max="13574" width="8.26953125" style="2" customWidth="1"/>
    <col min="13575" max="13575" width="10.7265625" style="2" customWidth="1"/>
    <col min="13576" max="13576" width="20.81640625" style="2" customWidth="1"/>
    <col min="13577" max="13577" width="9.7265625" style="2" customWidth="1"/>
    <col min="13578" max="13578" width="8.26953125" style="2" customWidth="1"/>
    <col min="13579" max="13579" width="11.54296875" style="2" customWidth="1"/>
    <col min="13580" max="13580" width="0.90625" style="2" customWidth="1"/>
    <col min="13581" max="13581" width="1.36328125" style="2" customWidth="1"/>
    <col min="13582" max="13582" width="0.1796875" style="2" customWidth="1"/>
    <col min="13583" max="13824" width="8.7265625" style="2"/>
    <col min="13825" max="13825" width="1.36328125" style="2" customWidth="1"/>
    <col min="13826" max="13826" width="1.81640625" style="2" customWidth="1"/>
    <col min="13827" max="13827" width="7.90625" style="2" customWidth="1"/>
    <col min="13828" max="13828" width="3.90625" style="2" customWidth="1"/>
    <col min="13829" max="13829" width="7.81640625" style="2" customWidth="1"/>
    <col min="13830" max="13830" width="8.26953125" style="2" customWidth="1"/>
    <col min="13831" max="13831" width="10.7265625" style="2" customWidth="1"/>
    <col min="13832" max="13832" width="20.81640625" style="2" customWidth="1"/>
    <col min="13833" max="13833" width="9.7265625" style="2" customWidth="1"/>
    <col min="13834" max="13834" width="8.26953125" style="2" customWidth="1"/>
    <col min="13835" max="13835" width="11.54296875" style="2" customWidth="1"/>
    <col min="13836" max="13836" width="0.90625" style="2" customWidth="1"/>
    <col min="13837" max="13837" width="1.36328125" style="2" customWidth="1"/>
    <col min="13838" max="13838" width="0.1796875" style="2" customWidth="1"/>
    <col min="13839" max="14080" width="8.7265625" style="2"/>
    <col min="14081" max="14081" width="1.36328125" style="2" customWidth="1"/>
    <col min="14082" max="14082" width="1.81640625" style="2" customWidth="1"/>
    <col min="14083" max="14083" width="7.90625" style="2" customWidth="1"/>
    <col min="14084" max="14084" width="3.90625" style="2" customWidth="1"/>
    <col min="14085" max="14085" width="7.81640625" style="2" customWidth="1"/>
    <col min="14086" max="14086" width="8.26953125" style="2" customWidth="1"/>
    <col min="14087" max="14087" width="10.7265625" style="2" customWidth="1"/>
    <col min="14088" max="14088" width="20.81640625" style="2" customWidth="1"/>
    <col min="14089" max="14089" width="9.7265625" style="2" customWidth="1"/>
    <col min="14090" max="14090" width="8.26953125" style="2" customWidth="1"/>
    <col min="14091" max="14091" width="11.54296875" style="2" customWidth="1"/>
    <col min="14092" max="14092" width="0.90625" style="2" customWidth="1"/>
    <col min="14093" max="14093" width="1.36328125" style="2" customWidth="1"/>
    <col min="14094" max="14094" width="0.1796875" style="2" customWidth="1"/>
    <col min="14095" max="14336" width="8.7265625" style="2"/>
    <col min="14337" max="14337" width="1.36328125" style="2" customWidth="1"/>
    <col min="14338" max="14338" width="1.81640625" style="2" customWidth="1"/>
    <col min="14339" max="14339" width="7.90625" style="2" customWidth="1"/>
    <col min="14340" max="14340" width="3.90625" style="2" customWidth="1"/>
    <col min="14341" max="14341" width="7.81640625" style="2" customWidth="1"/>
    <col min="14342" max="14342" width="8.26953125" style="2" customWidth="1"/>
    <col min="14343" max="14343" width="10.7265625" style="2" customWidth="1"/>
    <col min="14344" max="14344" width="20.81640625" style="2" customWidth="1"/>
    <col min="14345" max="14345" width="9.7265625" style="2" customWidth="1"/>
    <col min="14346" max="14346" width="8.26953125" style="2" customWidth="1"/>
    <col min="14347" max="14347" width="11.54296875" style="2" customWidth="1"/>
    <col min="14348" max="14348" width="0.90625" style="2" customWidth="1"/>
    <col min="14349" max="14349" width="1.36328125" style="2" customWidth="1"/>
    <col min="14350" max="14350" width="0.1796875" style="2" customWidth="1"/>
    <col min="14351" max="14592" width="8.7265625" style="2"/>
    <col min="14593" max="14593" width="1.36328125" style="2" customWidth="1"/>
    <col min="14594" max="14594" width="1.81640625" style="2" customWidth="1"/>
    <col min="14595" max="14595" width="7.90625" style="2" customWidth="1"/>
    <col min="14596" max="14596" width="3.90625" style="2" customWidth="1"/>
    <col min="14597" max="14597" width="7.81640625" style="2" customWidth="1"/>
    <col min="14598" max="14598" width="8.26953125" style="2" customWidth="1"/>
    <col min="14599" max="14599" width="10.7265625" style="2" customWidth="1"/>
    <col min="14600" max="14600" width="20.81640625" style="2" customWidth="1"/>
    <col min="14601" max="14601" width="9.7265625" style="2" customWidth="1"/>
    <col min="14602" max="14602" width="8.26953125" style="2" customWidth="1"/>
    <col min="14603" max="14603" width="11.54296875" style="2" customWidth="1"/>
    <col min="14604" max="14604" width="0.90625" style="2" customWidth="1"/>
    <col min="14605" max="14605" width="1.36328125" style="2" customWidth="1"/>
    <col min="14606" max="14606" width="0.1796875" style="2" customWidth="1"/>
    <col min="14607" max="14848" width="8.7265625" style="2"/>
    <col min="14849" max="14849" width="1.36328125" style="2" customWidth="1"/>
    <col min="14850" max="14850" width="1.81640625" style="2" customWidth="1"/>
    <col min="14851" max="14851" width="7.90625" style="2" customWidth="1"/>
    <col min="14852" max="14852" width="3.90625" style="2" customWidth="1"/>
    <col min="14853" max="14853" width="7.81640625" style="2" customWidth="1"/>
    <col min="14854" max="14854" width="8.26953125" style="2" customWidth="1"/>
    <col min="14855" max="14855" width="10.7265625" style="2" customWidth="1"/>
    <col min="14856" max="14856" width="20.81640625" style="2" customWidth="1"/>
    <col min="14857" max="14857" width="9.7265625" style="2" customWidth="1"/>
    <col min="14858" max="14858" width="8.26953125" style="2" customWidth="1"/>
    <col min="14859" max="14859" width="11.54296875" style="2" customWidth="1"/>
    <col min="14860" max="14860" width="0.90625" style="2" customWidth="1"/>
    <col min="14861" max="14861" width="1.36328125" style="2" customWidth="1"/>
    <col min="14862" max="14862" width="0.1796875" style="2" customWidth="1"/>
    <col min="14863" max="15104" width="8.7265625" style="2"/>
    <col min="15105" max="15105" width="1.36328125" style="2" customWidth="1"/>
    <col min="15106" max="15106" width="1.81640625" style="2" customWidth="1"/>
    <col min="15107" max="15107" width="7.90625" style="2" customWidth="1"/>
    <col min="15108" max="15108" width="3.90625" style="2" customWidth="1"/>
    <col min="15109" max="15109" width="7.81640625" style="2" customWidth="1"/>
    <col min="15110" max="15110" width="8.26953125" style="2" customWidth="1"/>
    <col min="15111" max="15111" width="10.7265625" style="2" customWidth="1"/>
    <col min="15112" max="15112" width="20.81640625" style="2" customWidth="1"/>
    <col min="15113" max="15113" width="9.7265625" style="2" customWidth="1"/>
    <col min="15114" max="15114" width="8.26953125" style="2" customWidth="1"/>
    <col min="15115" max="15115" width="11.54296875" style="2" customWidth="1"/>
    <col min="15116" max="15116" width="0.90625" style="2" customWidth="1"/>
    <col min="15117" max="15117" width="1.36328125" style="2" customWidth="1"/>
    <col min="15118" max="15118" width="0.1796875" style="2" customWidth="1"/>
    <col min="15119" max="15360" width="8.7265625" style="2"/>
    <col min="15361" max="15361" width="1.36328125" style="2" customWidth="1"/>
    <col min="15362" max="15362" width="1.81640625" style="2" customWidth="1"/>
    <col min="15363" max="15363" width="7.90625" style="2" customWidth="1"/>
    <col min="15364" max="15364" width="3.90625" style="2" customWidth="1"/>
    <col min="15365" max="15365" width="7.81640625" style="2" customWidth="1"/>
    <col min="15366" max="15366" width="8.26953125" style="2" customWidth="1"/>
    <col min="15367" max="15367" width="10.7265625" style="2" customWidth="1"/>
    <col min="15368" max="15368" width="20.81640625" style="2" customWidth="1"/>
    <col min="15369" max="15369" width="9.7265625" style="2" customWidth="1"/>
    <col min="15370" max="15370" width="8.26953125" style="2" customWidth="1"/>
    <col min="15371" max="15371" width="11.54296875" style="2" customWidth="1"/>
    <col min="15372" max="15372" width="0.90625" style="2" customWidth="1"/>
    <col min="15373" max="15373" width="1.36328125" style="2" customWidth="1"/>
    <col min="15374" max="15374" width="0.1796875" style="2" customWidth="1"/>
    <col min="15375" max="15616" width="8.7265625" style="2"/>
    <col min="15617" max="15617" width="1.36328125" style="2" customWidth="1"/>
    <col min="15618" max="15618" width="1.81640625" style="2" customWidth="1"/>
    <col min="15619" max="15619" width="7.90625" style="2" customWidth="1"/>
    <col min="15620" max="15620" width="3.90625" style="2" customWidth="1"/>
    <col min="15621" max="15621" width="7.81640625" style="2" customWidth="1"/>
    <col min="15622" max="15622" width="8.26953125" style="2" customWidth="1"/>
    <col min="15623" max="15623" width="10.7265625" style="2" customWidth="1"/>
    <col min="15624" max="15624" width="20.81640625" style="2" customWidth="1"/>
    <col min="15625" max="15625" width="9.7265625" style="2" customWidth="1"/>
    <col min="15626" max="15626" width="8.26953125" style="2" customWidth="1"/>
    <col min="15627" max="15627" width="11.54296875" style="2" customWidth="1"/>
    <col min="15628" max="15628" width="0.90625" style="2" customWidth="1"/>
    <col min="15629" max="15629" width="1.36328125" style="2" customWidth="1"/>
    <col min="15630" max="15630" width="0.1796875" style="2" customWidth="1"/>
    <col min="15631" max="15872" width="8.7265625" style="2"/>
    <col min="15873" max="15873" width="1.36328125" style="2" customWidth="1"/>
    <col min="15874" max="15874" width="1.81640625" style="2" customWidth="1"/>
    <col min="15875" max="15875" width="7.90625" style="2" customWidth="1"/>
    <col min="15876" max="15876" width="3.90625" style="2" customWidth="1"/>
    <col min="15877" max="15877" width="7.81640625" style="2" customWidth="1"/>
    <col min="15878" max="15878" width="8.26953125" style="2" customWidth="1"/>
    <col min="15879" max="15879" width="10.7265625" style="2" customWidth="1"/>
    <col min="15880" max="15880" width="20.81640625" style="2" customWidth="1"/>
    <col min="15881" max="15881" width="9.7265625" style="2" customWidth="1"/>
    <col min="15882" max="15882" width="8.26953125" style="2" customWidth="1"/>
    <col min="15883" max="15883" width="11.54296875" style="2" customWidth="1"/>
    <col min="15884" max="15884" width="0.90625" style="2" customWidth="1"/>
    <col min="15885" max="15885" width="1.36328125" style="2" customWidth="1"/>
    <col min="15886" max="15886" width="0.1796875" style="2" customWidth="1"/>
    <col min="15887" max="16128" width="8.7265625" style="2"/>
    <col min="16129" max="16129" width="1.36328125" style="2" customWidth="1"/>
    <col min="16130" max="16130" width="1.81640625" style="2" customWidth="1"/>
    <col min="16131" max="16131" width="7.90625" style="2" customWidth="1"/>
    <col min="16132" max="16132" width="3.90625" style="2" customWidth="1"/>
    <col min="16133" max="16133" width="7.81640625" style="2" customWidth="1"/>
    <col min="16134" max="16134" width="8.26953125" style="2" customWidth="1"/>
    <col min="16135" max="16135" width="10.7265625" style="2" customWidth="1"/>
    <col min="16136" max="16136" width="20.81640625" style="2" customWidth="1"/>
    <col min="16137" max="16137" width="9.7265625" style="2" customWidth="1"/>
    <col min="16138" max="16138" width="8.26953125" style="2" customWidth="1"/>
    <col min="16139" max="16139" width="11.54296875" style="2" customWidth="1"/>
    <col min="16140" max="16140" width="0.90625" style="2" customWidth="1"/>
    <col min="16141" max="16141" width="1.36328125" style="2" customWidth="1"/>
    <col min="16142" max="16142" width="0.1796875" style="2" customWidth="1"/>
    <col min="16143" max="16384" width="8.7265625" style="2"/>
  </cols>
  <sheetData>
    <row r="1" spans="1:14" ht="38.25" customHeight="1">
      <c r="A1" s="1"/>
      <c r="B1" s="1"/>
      <c r="C1" s="50"/>
      <c r="D1" s="50"/>
      <c r="E1" s="50"/>
      <c r="F1" s="50"/>
      <c r="G1" s="50"/>
      <c r="H1" s="50"/>
      <c r="I1" s="50"/>
      <c r="J1" s="50"/>
      <c r="K1" s="50"/>
      <c r="L1" s="1"/>
      <c r="M1" s="1"/>
      <c r="N1" s="1"/>
    </row>
    <row r="2" spans="1:14" ht="4.2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ht="7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ht="18" customHeight="1">
      <c r="A4" s="1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1"/>
      <c r="N4" s="1"/>
    </row>
    <row r="5" spans="1:14">
      <c r="A5" s="1"/>
      <c r="B5" s="52" t="s">
        <v>0</v>
      </c>
      <c r="C5" s="52"/>
      <c r="D5" s="52"/>
      <c r="E5" s="52"/>
      <c r="F5" s="52"/>
      <c r="G5" s="52"/>
      <c r="H5" s="3" t="s">
        <v>1</v>
      </c>
      <c r="I5" s="3"/>
      <c r="J5" s="3"/>
      <c r="K5" s="53"/>
      <c r="L5" s="53"/>
      <c r="M5" s="1"/>
      <c r="N5" s="1"/>
    </row>
    <row r="6" spans="1:14" ht="18" customHeight="1" thickBot="1">
      <c r="A6" s="1"/>
      <c r="B6" s="54" t="s">
        <v>2</v>
      </c>
      <c r="C6" s="54"/>
      <c r="D6" s="54"/>
      <c r="E6" s="54"/>
      <c r="F6" s="54"/>
      <c r="G6" s="54"/>
      <c r="H6" s="55" t="s">
        <v>3</v>
      </c>
      <c r="I6" s="55"/>
      <c r="J6" s="55"/>
      <c r="K6" s="55"/>
      <c r="L6" s="55"/>
      <c r="M6" s="1"/>
      <c r="N6" s="1"/>
    </row>
    <row r="7" spans="1:14" ht="14.9" customHeight="1" thickBot="1">
      <c r="A7" s="1"/>
      <c r="B7" s="46" t="s">
        <v>4</v>
      </c>
      <c r="C7" s="46"/>
      <c r="D7" s="46"/>
      <c r="E7" s="46"/>
      <c r="F7" s="46"/>
      <c r="G7" s="46"/>
      <c r="H7" s="47" t="s">
        <v>5</v>
      </c>
      <c r="I7" s="47"/>
      <c r="J7" s="47"/>
      <c r="K7" s="47"/>
      <c r="L7" s="47"/>
      <c r="M7" s="1"/>
      <c r="N7" s="1"/>
    </row>
    <row r="8" spans="1:14" ht="14.9" customHeight="1" thickBot="1">
      <c r="A8" s="1"/>
      <c r="B8" s="42" t="s">
        <v>6</v>
      </c>
      <c r="C8" s="42"/>
      <c r="D8" s="42"/>
      <c r="E8" s="42"/>
      <c r="F8" s="42"/>
      <c r="G8" s="42"/>
      <c r="H8" s="48" t="s">
        <v>7</v>
      </c>
      <c r="I8" s="48"/>
      <c r="J8" s="48"/>
      <c r="K8" s="48"/>
      <c r="L8" s="48"/>
      <c r="M8" s="1"/>
      <c r="N8" s="1"/>
    </row>
    <row r="9" spans="1:14" ht="14.15" customHeight="1" thickBot="1">
      <c r="A9" s="1"/>
      <c r="B9" s="46" t="s">
        <v>8</v>
      </c>
      <c r="C9" s="46"/>
      <c r="D9" s="46"/>
      <c r="E9" s="46"/>
      <c r="F9" s="46"/>
      <c r="G9" s="46"/>
      <c r="H9" s="49"/>
      <c r="I9" s="49"/>
      <c r="J9" s="49"/>
      <c r="K9" s="49"/>
      <c r="L9" s="49"/>
      <c r="M9" s="1"/>
      <c r="N9" s="1"/>
    </row>
    <row r="10" spans="1:14" ht="14.15" customHeight="1" thickBot="1">
      <c r="A10" s="1"/>
      <c r="B10" s="42" t="s">
        <v>9</v>
      </c>
      <c r="C10" s="42"/>
      <c r="D10" s="42"/>
      <c r="E10" s="42"/>
      <c r="F10" s="42"/>
      <c r="G10" s="42"/>
      <c r="H10" s="43"/>
      <c r="I10" s="43"/>
      <c r="J10" s="43"/>
      <c r="K10" s="43"/>
      <c r="L10" s="43"/>
      <c r="M10" s="1"/>
      <c r="N10" s="1"/>
    </row>
    <row r="11" spans="1:14">
      <c r="A11" s="1"/>
      <c r="B11" s="44" t="s">
        <v>10</v>
      </c>
      <c r="C11" s="44"/>
      <c r="D11" s="4" t="s">
        <v>11</v>
      </c>
      <c r="E11" s="4" t="s">
        <v>12</v>
      </c>
      <c r="F11" s="4" t="s">
        <v>13</v>
      </c>
      <c r="G11" s="4" t="s">
        <v>14</v>
      </c>
      <c r="H11" s="4" t="s">
        <v>15</v>
      </c>
      <c r="I11" s="5" t="s">
        <v>16</v>
      </c>
      <c r="J11" s="5" t="s">
        <v>17</v>
      </c>
      <c r="K11" s="45" t="s">
        <v>18</v>
      </c>
      <c r="L11" s="45"/>
      <c r="M11" s="1"/>
      <c r="N11" s="1"/>
    </row>
    <row r="12" spans="1:14" ht="18">
      <c r="A12" s="1"/>
      <c r="B12" s="40" t="s">
        <v>19</v>
      </c>
      <c r="C12" s="40"/>
      <c r="D12" s="6" t="s">
        <v>20</v>
      </c>
      <c r="E12" s="7" t="s">
        <v>21</v>
      </c>
      <c r="F12" s="6"/>
      <c r="G12" s="7" t="s">
        <v>22</v>
      </c>
      <c r="H12" s="7" t="s">
        <v>23</v>
      </c>
      <c r="I12" s="8">
        <v>27</v>
      </c>
      <c r="J12" s="9">
        <v>43.45</v>
      </c>
      <c r="K12" s="41">
        <v>1173.1500000000001</v>
      </c>
      <c r="L12" s="41"/>
      <c r="M12" s="1"/>
      <c r="N12" s="1"/>
    </row>
    <row r="13" spans="1:14" ht="18">
      <c r="A13" s="1"/>
      <c r="B13" s="35" t="s">
        <v>19</v>
      </c>
      <c r="C13" s="35"/>
      <c r="D13" s="10" t="s">
        <v>20</v>
      </c>
      <c r="E13" s="11" t="s">
        <v>21</v>
      </c>
      <c r="F13" s="10"/>
      <c r="G13" s="11" t="s">
        <v>22</v>
      </c>
      <c r="H13" s="11" t="s">
        <v>23</v>
      </c>
      <c r="I13" s="12">
        <v>23</v>
      </c>
      <c r="J13" s="13">
        <v>43.46</v>
      </c>
      <c r="K13" s="36">
        <v>999.58</v>
      </c>
      <c r="L13" s="36"/>
      <c r="M13" s="1"/>
      <c r="N13" s="1"/>
    </row>
    <row r="14" spans="1:14" ht="18">
      <c r="A14" s="1"/>
      <c r="B14" s="40" t="s">
        <v>24</v>
      </c>
      <c r="C14" s="40"/>
      <c r="D14" s="6" t="s">
        <v>20</v>
      </c>
      <c r="E14" s="7" t="s">
        <v>25</v>
      </c>
      <c r="F14" s="6"/>
      <c r="G14" s="7" t="s">
        <v>26</v>
      </c>
      <c r="H14" s="7" t="s">
        <v>27</v>
      </c>
      <c r="I14" s="8">
        <v>20</v>
      </c>
      <c r="J14" s="9">
        <v>184.59</v>
      </c>
      <c r="K14" s="41">
        <v>3691.8</v>
      </c>
      <c r="L14" s="41"/>
      <c r="M14" s="1"/>
      <c r="N14" s="1"/>
    </row>
    <row r="15" spans="1:14" ht="18">
      <c r="A15" s="1"/>
      <c r="B15" s="35" t="s">
        <v>28</v>
      </c>
      <c r="C15" s="35"/>
      <c r="D15" s="10" t="s">
        <v>20</v>
      </c>
      <c r="E15" s="11" t="s">
        <v>21</v>
      </c>
      <c r="F15" s="10"/>
      <c r="G15" s="11" t="s">
        <v>29</v>
      </c>
      <c r="H15" s="11" t="s">
        <v>30</v>
      </c>
      <c r="I15" s="12">
        <v>37</v>
      </c>
      <c r="J15" s="13">
        <v>66.88</v>
      </c>
      <c r="K15" s="36">
        <v>2474.56</v>
      </c>
      <c r="L15" s="36"/>
      <c r="M15" s="1"/>
      <c r="N15" s="1"/>
    </row>
    <row r="16" spans="1:14" ht="18">
      <c r="A16" s="1"/>
      <c r="B16" s="40" t="s">
        <v>31</v>
      </c>
      <c r="C16" s="40"/>
      <c r="D16" s="6" t="s">
        <v>20</v>
      </c>
      <c r="E16" s="7" t="s">
        <v>21</v>
      </c>
      <c r="F16" s="6"/>
      <c r="G16" s="7" t="s">
        <v>29</v>
      </c>
      <c r="H16" s="7" t="s">
        <v>30</v>
      </c>
      <c r="I16" s="8">
        <v>3</v>
      </c>
      <c r="J16" s="9">
        <v>63.59</v>
      </c>
      <c r="K16" s="41">
        <v>190.77</v>
      </c>
      <c r="L16" s="41"/>
      <c r="M16" s="1"/>
      <c r="N16" s="1"/>
    </row>
    <row r="17" spans="1:14" ht="18">
      <c r="A17" s="1"/>
      <c r="B17" s="35" t="s">
        <v>31</v>
      </c>
      <c r="C17" s="35"/>
      <c r="D17" s="10" t="s">
        <v>20</v>
      </c>
      <c r="E17" s="11" t="s">
        <v>21</v>
      </c>
      <c r="F17" s="10"/>
      <c r="G17" s="11" t="s">
        <v>29</v>
      </c>
      <c r="H17" s="11" t="s">
        <v>30</v>
      </c>
      <c r="I17" s="12">
        <v>29</v>
      </c>
      <c r="J17" s="13">
        <v>63.59</v>
      </c>
      <c r="K17" s="36">
        <v>1844.11</v>
      </c>
      <c r="L17" s="36"/>
      <c r="M17" s="1"/>
      <c r="N17" s="1"/>
    </row>
    <row r="18" spans="1:14" ht="18">
      <c r="A18" s="1"/>
      <c r="B18" s="40" t="s">
        <v>32</v>
      </c>
      <c r="C18" s="40"/>
      <c r="D18" s="6" t="s">
        <v>33</v>
      </c>
      <c r="E18" s="7" t="s">
        <v>25</v>
      </c>
      <c r="F18" s="6"/>
      <c r="G18" s="7" t="s">
        <v>34</v>
      </c>
      <c r="H18" s="7" t="s">
        <v>35</v>
      </c>
      <c r="I18" s="8">
        <v>100</v>
      </c>
      <c r="J18" s="9">
        <v>1.02</v>
      </c>
      <c r="K18" s="41">
        <v>102</v>
      </c>
      <c r="L18" s="41"/>
      <c r="M18" s="1"/>
      <c r="N18" s="1"/>
    </row>
    <row r="19" spans="1:14" ht="18">
      <c r="A19" s="1"/>
      <c r="B19" s="35" t="s">
        <v>36</v>
      </c>
      <c r="C19" s="35"/>
      <c r="D19" s="10" t="s">
        <v>20</v>
      </c>
      <c r="E19" s="11" t="s">
        <v>25</v>
      </c>
      <c r="F19" s="10"/>
      <c r="G19" s="11" t="s">
        <v>37</v>
      </c>
      <c r="H19" s="11" t="s">
        <v>38</v>
      </c>
      <c r="I19" s="12">
        <v>30</v>
      </c>
      <c r="J19" s="13">
        <v>94.68</v>
      </c>
      <c r="K19" s="36">
        <v>2840.4</v>
      </c>
      <c r="L19" s="36"/>
      <c r="M19" s="1"/>
      <c r="N19" s="1"/>
    </row>
    <row r="20" spans="1:14" ht="18">
      <c r="A20" s="1"/>
      <c r="B20" s="40" t="s">
        <v>36</v>
      </c>
      <c r="C20" s="40"/>
      <c r="D20" s="6" t="s">
        <v>20</v>
      </c>
      <c r="E20" s="7" t="s">
        <v>25</v>
      </c>
      <c r="F20" s="6"/>
      <c r="G20" s="7" t="s">
        <v>39</v>
      </c>
      <c r="H20" s="7" t="s">
        <v>40</v>
      </c>
      <c r="I20" s="8">
        <v>300</v>
      </c>
      <c r="J20" s="27">
        <v>9.4499999999999993</v>
      </c>
      <c r="K20" s="41">
        <v>2835</v>
      </c>
      <c r="L20" s="41"/>
      <c r="M20" s="1"/>
      <c r="N20" s="1"/>
    </row>
    <row r="21" spans="1:14" ht="18">
      <c r="A21" s="1"/>
      <c r="B21" s="40" t="s">
        <v>791</v>
      </c>
      <c r="C21" s="40"/>
      <c r="D21" s="6" t="s">
        <v>20</v>
      </c>
      <c r="E21" s="7" t="s">
        <v>25</v>
      </c>
      <c r="F21" s="6"/>
      <c r="G21" s="7" t="s">
        <v>39</v>
      </c>
      <c r="H21" s="7" t="s">
        <v>40</v>
      </c>
      <c r="I21" s="8">
        <v>300</v>
      </c>
      <c r="J21" s="9">
        <v>9</v>
      </c>
      <c r="K21" s="41">
        <v>2835</v>
      </c>
      <c r="L21" s="41"/>
      <c r="M21" s="1"/>
      <c r="N21" s="1"/>
    </row>
    <row r="22" spans="1:14" ht="18">
      <c r="A22" s="1"/>
      <c r="B22" s="35" t="s">
        <v>36</v>
      </c>
      <c r="C22" s="35"/>
      <c r="D22" s="10" t="s">
        <v>20</v>
      </c>
      <c r="E22" s="11" t="s">
        <v>25</v>
      </c>
      <c r="F22" s="10"/>
      <c r="G22" s="11" t="s">
        <v>39</v>
      </c>
      <c r="H22" s="11" t="s">
        <v>40</v>
      </c>
      <c r="I22" s="12">
        <v>100</v>
      </c>
      <c r="J22" s="13">
        <v>9.4499999999999993</v>
      </c>
      <c r="K22" s="36">
        <v>945</v>
      </c>
      <c r="L22" s="36"/>
      <c r="M22" s="1"/>
      <c r="N22" s="1"/>
    </row>
    <row r="23" spans="1:14" ht="18">
      <c r="A23" s="1"/>
      <c r="B23" s="40" t="s">
        <v>36</v>
      </c>
      <c r="C23" s="40"/>
      <c r="D23" s="6" t="s">
        <v>20</v>
      </c>
      <c r="E23" s="7" t="s">
        <v>25</v>
      </c>
      <c r="F23" s="6"/>
      <c r="G23" s="7" t="s">
        <v>41</v>
      </c>
      <c r="H23" s="7" t="s">
        <v>42</v>
      </c>
      <c r="I23" s="8">
        <v>20</v>
      </c>
      <c r="J23" s="9">
        <v>130</v>
      </c>
      <c r="K23" s="41">
        <v>2600</v>
      </c>
      <c r="L23" s="41"/>
      <c r="M23" s="1"/>
      <c r="N23" s="1"/>
    </row>
    <row r="24" spans="1:14" ht="18">
      <c r="A24" s="1"/>
      <c r="B24" s="35" t="s">
        <v>36</v>
      </c>
      <c r="C24" s="35"/>
      <c r="D24" s="10" t="s">
        <v>20</v>
      </c>
      <c r="E24" s="11" t="s">
        <v>25</v>
      </c>
      <c r="F24" s="10"/>
      <c r="G24" s="11" t="s">
        <v>43</v>
      </c>
      <c r="H24" s="11" t="s">
        <v>44</v>
      </c>
      <c r="I24" s="12">
        <v>200</v>
      </c>
      <c r="J24" s="13">
        <v>13.15</v>
      </c>
      <c r="K24" s="36">
        <v>2630</v>
      </c>
      <c r="L24" s="36"/>
      <c r="M24" s="1"/>
      <c r="N24" s="1"/>
    </row>
    <row r="25" spans="1:14" ht="18">
      <c r="A25" s="1"/>
      <c r="B25" s="40" t="s">
        <v>45</v>
      </c>
      <c r="C25" s="40"/>
      <c r="D25" s="6" t="s">
        <v>20</v>
      </c>
      <c r="E25" s="14" t="s">
        <v>25</v>
      </c>
      <c r="F25" s="6"/>
      <c r="G25" s="7" t="s">
        <v>46</v>
      </c>
      <c r="H25" s="7" t="s">
        <v>47</v>
      </c>
      <c r="I25" s="8">
        <v>100</v>
      </c>
      <c r="J25" s="9">
        <v>25.6</v>
      </c>
      <c r="K25" s="41">
        <v>2560</v>
      </c>
      <c r="L25" s="41"/>
      <c r="M25" s="1"/>
      <c r="N25" s="1"/>
    </row>
    <row r="26" spans="1:14" ht="18">
      <c r="A26" s="1"/>
      <c r="B26" s="35" t="s">
        <v>48</v>
      </c>
      <c r="C26" s="35"/>
      <c r="D26" s="10" t="s">
        <v>33</v>
      </c>
      <c r="E26" s="11" t="s">
        <v>25</v>
      </c>
      <c r="F26" s="10"/>
      <c r="G26" s="11" t="s">
        <v>41</v>
      </c>
      <c r="H26" s="11" t="s">
        <v>42</v>
      </c>
      <c r="I26" s="12">
        <v>10</v>
      </c>
      <c r="J26" s="13">
        <v>158</v>
      </c>
      <c r="K26" s="36">
        <v>1580</v>
      </c>
      <c r="L26" s="36"/>
      <c r="M26" s="1"/>
      <c r="N26" s="1"/>
    </row>
    <row r="27" spans="1:14" ht="18">
      <c r="A27" s="1"/>
      <c r="B27" s="40" t="s">
        <v>48</v>
      </c>
      <c r="C27" s="40"/>
      <c r="D27" s="6" t="s">
        <v>33</v>
      </c>
      <c r="E27" s="7" t="s">
        <v>25</v>
      </c>
      <c r="F27" s="6"/>
      <c r="G27" s="7" t="s">
        <v>41</v>
      </c>
      <c r="H27" s="7" t="s">
        <v>42</v>
      </c>
      <c r="I27" s="8">
        <v>10</v>
      </c>
      <c r="J27" s="9">
        <v>158</v>
      </c>
      <c r="K27" s="41">
        <v>1580</v>
      </c>
      <c r="L27" s="41"/>
      <c r="M27" s="1"/>
      <c r="N27" s="1"/>
    </row>
    <row r="28" spans="1:14" ht="18">
      <c r="A28" s="1"/>
      <c r="B28" s="35" t="s">
        <v>49</v>
      </c>
      <c r="C28" s="35"/>
      <c r="D28" s="10" t="s">
        <v>20</v>
      </c>
      <c r="E28" s="11" t="s">
        <v>25</v>
      </c>
      <c r="F28" s="10"/>
      <c r="G28" s="11" t="s">
        <v>50</v>
      </c>
      <c r="H28" s="11" t="s">
        <v>51</v>
      </c>
      <c r="I28" s="12">
        <v>4000</v>
      </c>
      <c r="J28" s="13">
        <v>0.78</v>
      </c>
      <c r="K28" s="36">
        <v>3120</v>
      </c>
      <c r="L28" s="36"/>
      <c r="M28" s="1"/>
      <c r="N28" s="1"/>
    </row>
    <row r="29" spans="1:14" ht="18">
      <c r="A29" s="1"/>
      <c r="B29" s="40" t="s">
        <v>52</v>
      </c>
      <c r="C29" s="40"/>
      <c r="D29" s="6" t="s">
        <v>33</v>
      </c>
      <c r="E29" s="7" t="s">
        <v>25</v>
      </c>
      <c r="F29" s="6"/>
      <c r="G29" s="7" t="s">
        <v>53</v>
      </c>
      <c r="H29" s="7" t="s">
        <v>54</v>
      </c>
      <c r="I29" s="8">
        <v>100</v>
      </c>
      <c r="J29" s="9">
        <v>40.299999999999997</v>
      </c>
      <c r="K29" s="41">
        <v>4030</v>
      </c>
      <c r="L29" s="41"/>
      <c r="M29" s="1"/>
      <c r="N29" s="1"/>
    </row>
    <row r="30" spans="1:14" ht="18">
      <c r="A30" s="1"/>
      <c r="B30" s="35" t="s">
        <v>52</v>
      </c>
      <c r="C30" s="35"/>
      <c r="D30" s="10" t="s">
        <v>33</v>
      </c>
      <c r="E30" s="11" t="s">
        <v>21</v>
      </c>
      <c r="F30" s="10"/>
      <c r="G30" s="11" t="s">
        <v>55</v>
      </c>
      <c r="H30" s="11" t="s">
        <v>54</v>
      </c>
      <c r="I30" s="12">
        <v>2</v>
      </c>
      <c r="J30" s="13">
        <v>40.299999999999997</v>
      </c>
      <c r="K30" s="36">
        <v>80.599999999999994</v>
      </c>
      <c r="L30" s="36"/>
      <c r="M30" s="1"/>
      <c r="N30" s="1"/>
    </row>
    <row r="31" spans="1:14" ht="18">
      <c r="A31" s="1"/>
      <c r="B31" s="40" t="s">
        <v>56</v>
      </c>
      <c r="C31" s="40"/>
      <c r="D31" s="6" t="s">
        <v>33</v>
      </c>
      <c r="E31" s="7" t="s">
        <v>21</v>
      </c>
      <c r="F31" s="6"/>
      <c r="G31" s="7" t="s">
        <v>55</v>
      </c>
      <c r="H31" s="7" t="s">
        <v>54</v>
      </c>
      <c r="I31" s="8">
        <v>36</v>
      </c>
      <c r="J31" s="9">
        <v>40.33</v>
      </c>
      <c r="K31" s="41">
        <v>1451.88</v>
      </c>
      <c r="L31" s="41"/>
      <c r="M31" s="1"/>
      <c r="N31" s="1"/>
    </row>
    <row r="32" spans="1:14" ht="18">
      <c r="A32" s="1"/>
      <c r="B32" s="35" t="s">
        <v>57</v>
      </c>
      <c r="C32" s="35"/>
      <c r="D32" s="10" t="s">
        <v>33</v>
      </c>
      <c r="E32" s="11" t="s">
        <v>25</v>
      </c>
      <c r="F32" s="10"/>
      <c r="G32" s="11" t="s">
        <v>43</v>
      </c>
      <c r="H32" s="11" t="s">
        <v>44</v>
      </c>
      <c r="I32" s="12">
        <v>200</v>
      </c>
      <c r="J32" s="13">
        <v>21.84</v>
      </c>
      <c r="K32" s="36">
        <v>4368</v>
      </c>
      <c r="L32" s="36"/>
      <c r="M32" s="1"/>
      <c r="N32" s="1"/>
    </row>
    <row r="33" spans="1:14" ht="18" customHeight="1">
      <c r="A33" s="1"/>
      <c r="B33" s="40" t="s">
        <v>58</v>
      </c>
      <c r="C33" s="40"/>
      <c r="D33" s="6" t="s">
        <v>33</v>
      </c>
      <c r="E33" s="7" t="s">
        <v>25</v>
      </c>
      <c r="F33" s="6"/>
      <c r="G33" s="7" t="s">
        <v>59</v>
      </c>
      <c r="H33" s="7" t="s">
        <v>60</v>
      </c>
      <c r="I33" s="8">
        <v>100</v>
      </c>
      <c r="J33" s="27">
        <v>56.78</v>
      </c>
      <c r="K33" s="41">
        <v>5678</v>
      </c>
      <c r="L33" s="41"/>
      <c r="M33" s="1"/>
      <c r="N33" s="1"/>
    </row>
    <row r="34" spans="1:14" ht="18">
      <c r="A34" s="1"/>
      <c r="B34" s="40" t="s">
        <v>790</v>
      </c>
      <c r="C34" s="40"/>
      <c r="D34" s="6" t="s">
        <v>779</v>
      </c>
      <c r="E34" s="7" t="s">
        <v>25</v>
      </c>
      <c r="F34" s="6"/>
      <c r="G34" s="7" t="s">
        <v>59</v>
      </c>
      <c r="H34" s="7" t="s">
        <v>60</v>
      </c>
      <c r="I34" s="8">
        <v>150</v>
      </c>
      <c r="J34" s="9">
        <v>50</v>
      </c>
      <c r="K34" s="41">
        <v>5678</v>
      </c>
      <c r="L34" s="41"/>
      <c r="M34" s="1"/>
      <c r="N34" s="1"/>
    </row>
    <row r="35" spans="1:14" ht="18">
      <c r="A35" s="1"/>
      <c r="B35" s="40" t="s">
        <v>790</v>
      </c>
      <c r="C35" s="40"/>
      <c r="D35" s="6" t="s">
        <v>789</v>
      </c>
      <c r="E35" s="7" t="s">
        <v>25</v>
      </c>
      <c r="F35" s="6"/>
      <c r="G35" s="7" t="s">
        <v>34</v>
      </c>
      <c r="H35" s="7" t="s">
        <v>35</v>
      </c>
      <c r="I35" s="8">
        <v>300</v>
      </c>
      <c r="J35" s="27">
        <v>0.8</v>
      </c>
      <c r="K35" s="41">
        <v>122</v>
      </c>
      <c r="L35" s="41"/>
      <c r="M35" s="1"/>
      <c r="N35" s="1"/>
    </row>
    <row r="36" spans="1:14" ht="18">
      <c r="A36" s="1"/>
      <c r="B36" s="40" t="s">
        <v>61</v>
      </c>
      <c r="C36" s="40"/>
      <c r="D36" s="6" t="s">
        <v>33</v>
      </c>
      <c r="E36" s="7" t="s">
        <v>25</v>
      </c>
      <c r="F36" s="6"/>
      <c r="G36" s="7" t="s">
        <v>34</v>
      </c>
      <c r="H36" s="7" t="s">
        <v>35</v>
      </c>
      <c r="I36" s="8">
        <v>100</v>
      </c>
      <c r="J36" s="9">
        <v>1.22</v>
      </c>
      <c r="K36" s="41">
        <v>122</v>
      </c>
      <c r="L36" s="41"/>
      <c r="M36" s="1"/>
      <c r="N36" s="1"/>
    </row>
    <row r="37" spans="1:14" ht="18">
      <c r="A37" s="1"/>
      <c r="B37" s="40" t="s">
        <v>62</v>
      </c>
      <c r="C37" s="40"/>
      <c r="D37" s="6" t="s">
        <v>20</v>
      </c>
      <c r="E37" s="7" t="s">
        <v>25</v>
      </c>
      <c r="F37" s="6"/>
      <c r="G37" s="7" t="s">
        <v>63</v>
      </c>
      <c r="H37" s="7" t="s">
        <v>64</v>
      </c>
      <c r="I37" s="8">
        <v>1</v>
      </c>
      <c r="J37" s="9">
        <v>124.47</v>
      </c>
      <c r="K37" s="41">
        <v>124.47</v>
      </c>
      <c r="L37" s="41"/>
      <c r="M37" s="1"/>
      <c r="N37" s="1"/>
    </row>
    <row r="38" spans="1:14" ht="18">
      <c r="A38" s="1"/>
      <c r="B38" s="35" t="s">
        <v>62</v>
      </c>
      <c r="C38" s="35"/>
      <c r="D38" s="10" t="s">
        <v>20</v>
      </c>
      <c r="E38" s="11" t="s">
        <v>25</v>
      </c>
      <c r="F38" s="10"/>
      <c r="G38" s="11" t="s">
        <v>63</v>
      </c>
      <c r="H38" s="11" t="s">
        <v>64</v>
      </c>
      <c r="I38" s="12">
        <v>1</v>
      </c>
      <c r="J38" s="13">
        <v>124.47</v>
      </c>
      <c r="K38" s="36">
        <v>124.47</v>
      </c>
      <c r="L38" s="36"/>
      <c r="M38" s="1"/>
      <c r="N38" s="1"/>
    </row>
    <row r="39" spans="1:14" ht="18">
      <c r="A39" s="1"/>
      <c r="B39" s="40" t="s">
        <v>62</v>
      </c>
      <c r="C39" s="40"/>
      <c r="D39" s="6" t="s">
        <v>20</v>
      </c>
      <c r="E39" s="7" t="s">
        <v>25</v>
      </c>
      <c r="F39" s="6"/>
      <c r="G39" s="7" t="s">
        <v>63</v>
      </c>
      <c r="H39" s="7" t="s">
        <v>64</v>
      </c>
      <c r="I39" s="8">
        <v>2</v>
      </c>
      <c r="J39" s="9">
        <v>124.47</v>
      </c>
      <c r="K39" s="41">
        <v>248.94</v>
      </c>
      <c r="L39" s="41"/>
      <c r="M39" s="1"/>
      <c r="N39" s="1"/>
    </row>
    <row r="40" spans="1:14" ht="18">
      <c r="A40" s="1"/>
      <c r="B40" s="35" t="s">
        <v>62</v>
      </c>
      <c r="C40" s="35"/>
      <c r="D40" s="10" t="s">
        <v>20</v>
      </c>
      <c r="E40" s="11" t="s">
        <v>25</v>
      </c>
      <c r="F40" s="10"/>
      <c r="G40" s="11" t="s">
        <v>63</v>
      </c>
      <c r="H40" s="11" t="s">
        <v>64</v>
      </c>
      <c r="I40" s="12">
        <v>24</v>
      </c>
      <c r="J40" s="13">
        <v>124.47</v>
      </c>
      <c r="K40" s="36">
        <v>2987.28</v>
      </c>
      <c r="L40" s="36"/>
      <c r="M40" s="1"/>
      <c r="N40" s="1"/>
    </row>
    <row r="41" spans="1:14" ht="18">
      <c r="A41" s="1"/>
      <c r="B41" s="40" t="s">
        <v>62</v>
      </c>
      <c r="C41" s="40"/>
      <c r="D41" s="6" t="s">
        <v>20</v>
      </c>
      <c r="E41" s="7" t="s">
        <v>25</v>
      </c>
      <c r="F41" s="6"/>
      <c r="G41" s="7" t="s">
        <v>63</v>
      </c>
      <c r="H41" s="7" t="s">
        <v>64</v>
      </c>
      <c r="I41" s="8">
        <v>2</v>
      </c>
      <c r="J41" s="9">
        <v>124.47</v>
      </c>
      <c r="K41" s="41">
        <v>248.94</v>
      </c>
      <c r="L41" s="41"/>
      <c r="M41" s="1"/>
      <c r="N41" s="1"/>
    </row>
    <row r="42" spans="1:14" ht="18">
      <c r="A42" s="1"/>
      <c r="B42" s="35" t="s">
        <v>65</v>
      </c>
      <c r="C42" s="35"/>
      <c r="D42" s="10" t="s">
        <v>20</v>
      </c>
      <c r="E42" s="11" t="s">
        <v>25</v>
      </c>
      <c r="F42" s="10"/>
      <c r="G42" s="11" t="s">
        <v>66</v>
      </c>
      <c r="H42" s="11" t="s">
        <v>67</v>
      </c>
      <c r="I42" s="12">
        <v>6</v>
      </c>
      <c r="J42" s="13">
        <v>131.31</v>
      </c>
      <c r="K42" s="36">
        <v>787.86</v>
      </c>
      <c r="L42" s="36"/>
      <c r="M42" s="1"/>
      <c r="N42" s="1"/>
    </row>
    <row r="43" spans="1:14" ht="18">
      <c r="A43" s="1"/>
      <c r="B43" s="40" t="s">
        <v>65</v>
      </c>
      <c r="C43" s="40"/>
      <c r="D43" s="6" t="s">
        <v>20</v>
      </c>
      <c r="E43" s="7" t="s">
        <v>25</v>
      </c>
      <c r="F43" s="6"/>
      <c r="G43" s="7" t="s">
        <v>66</v>
      </c>
      <c r="H43" s="7" t="s">
        <v>67</v>
      </c>
      <c r="I43" s="8">
        <v>6</v>
      </c>
      <c r="J43" s="9">
        <v>131.33000000000001</v>
      </c>
      <c r="K43" s="41">
        <v>787.98</v>
      </c>
      <c r="L43" s="41"/>
      <c r="M43" s="1"/>
      <c r="N43" s="1"/>
    </row>
    <row r="44" spans="1:14" ht="18">
      <c r="A44" s="1"/>
      <c r="B44" s="35" t="s">
        <v>65</v>
      </c>
      <c r="C44" s="35"/>
      <c r="D44" s="10" t="s">
        <v>20</v>
      </c>
      <c r="E44" s="11" t="s">
        <v>25</v>
      </c>
      <c r="F44" s="10"/>
      <c r="G44" s="11" t="s">
        <v>66</v>
      </c>
      <c r="H44" s="11" t="s">
        <v>67</v>
      </c>
      <c r="I44" s="12">
        <v>2</v>
      </c>
      <c r="J44" s="13">
        <v>131.30000000000001</v>
      </c>
      <c r="K44" s="36">
        <v>262.60000000000002</v>
      </c>
      <c r="L44" s="36"/>
      <c r="M44" s="1"/>
      <c r="N44" s="1"/>
    </row>
    <row r="45" spans="1:14" ht="18">
      <c r="A45" s="1"/>
      <c r="B45" s="40" t="s">
        <v>65</v>
      </c>
      <c r="C45" s="40"/>
      <c r="D45" s="6" t="s">
        <v>20</v>
      </c>
      <c r="E45" s="7" t="s">
        <v>25</v>
      </c>
      <c r="F45" s="6"/>
      <c r="G45" s="7" t="s">
        <v>66</v>
      </c>
      <c r="H45" s="7" t="s">
        <v>67</v>
      </c>
      <c r="I45" s="8">
        <v>1</v>
      </c>
      <c r="J45" s="9">
        <v>131.35</v>
      </c>
      <c r="K45" s="41">
        <v>131.35</v>
      </c>
      <c r="L45" s="41"/>
      <c r="M45" s="1"/>
      <c r="N45" s="1"/>
    </row>
    <row r="46" spans="1:14" ht="18">
      <c r="A46" s="1"/>
      <c r="B46" s="35" t="s">
        <v>65</v>
      </c>
      <c r="C46" s="35"/>
      <c r="D46" s="10" t="s">
        <v>20</v>
      </c>
      <c r="E46" s="11" t="s">
        <v>25</v>
      </c>
      <c r="F46" s="10"/>
      <c r="G46" s="11" t="s">
        <v>66</v>
      </c>
      <c r="H46" s="11" t="s">
        <v>67</v>
      </c>
      <c r="I46" s="12">
        <v>10</v>
      </c>
      <c r="J46" s="13">
        <v>131.34</v>
      </c>
      <c r="K46" s="36">
        <v>1313.4</v>
      </c>
      <c r="L46" s="36"/>
      <c r="M46" s="1"/>
      <c r="N46" s="1"/>
    </row>
    <row r="47" spans="1:14" ht="18">
      <c r="A47" s="1"/>
      <c r="B47" s="40" t="s">
        <v>65</v>
      </c>
      <c r="C47" s="40"/>
      <c r="D47" s="6" t="s">
        <v>20</v>
      </c>
      <c r="E47" s="7" t="s">
        <v>25</v>
      </c>
      <c r="F47" s="6"/>
      <c r="G47" s="7" t="s">
        <v>66</v>
      </c>
      <c r="H47" s="7" t="s">
        <v>67</v>
      </c>
      <c r="I47" s="8">
        <v>5</v>
      </c>
      <c r="J47" s="9">
        <v>131.32</v>
      </c>
      <c r="K47" s="41">
        <v>656.6</v>
      </c>
      <c r="L47" s="41"/>
      <c r="M47" s="1"/>
      <c r="N47" s="1"/>
    </row>
    <row r="48" spans="1:14" ht="18">
      <c r="A48" s="1"/>
      <c r="B48" s="35" t="s">
        <v>68</v>
      </c>
      <c r="C48" s="35"/>
      <c r="D48" s="10" t="s">
        <v>20</v>
      </c>
      <c r="E48" s="11" t="s">
        <v>25</v>
      </c>
      <c r="F48" s="10"/>
      <c r="G48" s="11" t="s">
        <v>69</v>
      </c>
      <c r="H48" s="11" t="s">
        <v>70</v>
      </c>
      <c r="I48" s="12">
        <v>100</v>
      </c>
      <c r="J48" s="13">
        <v>25.01</v>
      </c>
      <c r="K48" s="36">
        <v>2501</v>
      </c>
      <c r="L48" s="36"/>
      <c r="M48" s="1"/>
      <c r="N48" s="1"/>
    </row>
    <row r="49" spans="1:14" ht="18">
      <c r="A49" s="1"/>
      <c r="B49" s="40" t="s">
        <v>68</v>
      </c>
      <c r="C49" s="40"/>
      <c r="D49" s="6" t="s">
        <v>20</v>
      </c>
      <c r="E49" s="7" t="s">
        <v>25</v>
      </c>
      <c r="F49" s="6"/>
      <c r="G49" s="7" t="s">
        <v>69</v>
      </c>
      <c r="H49" s="7" t="s">
        <v>70</v>
      </c>
      <c r="I49" s="8">
        <v>100</v>
      </c>
      <c r="J49" s="9">
        <v>25.01</v>
      </c>
      <c r="K49" s="41">
        <v>2501</v>
      </c>
      <c r="L49" s="41"/>
      <c r="M49" s="1"/>
      <c r="N49" s="1"/>
    </row>
    <row r="50" spans="1:14" ht="18">
      <c r="A50" s="1"/>
      <c r="B50" s="35" t="s">
        <v>71</v>
      </c>
      <c r="C50" s="35"/>
      <c r="D50" s="10" t="s">
        <v>20</v>
      </c>
      <c r="E50" s="11" t="s">
        <v>25</v>
      </c>
      <c r="F50" s="10"/>
      <c r="G50" s="11" t="s">
        <v>66</v>
      </c>
      <c r="H50" s="11" t="s">
        <v>67</v>
      </c>
      <c r="I50" s="12">
        <v>30</v>
      </c>
      <c r="J50" s="13">
        <v>115.6</v>
      </c>
      <c r="K50" s="36">
        <v>3468</v>
      </c>
      <c r="L50" s="36"/>
      <c r="M50" s="1"/>
      <c r="N50" s="1"/>
    </row>
    <row r="51" spans="1:14" ht="18">
      <c r="A51" s="1"/>
      <c r="B51" s="40" t="s">
        <v>72</v>
      </c>
      <c r="C51" s="40"/>
      <c r="D51" s="6" t="s">
        <v>33</v>
      </c>
      <c r="E51" s="7" t="s">
        <v>21</v>
      </c>
      <c r="F51" s="6"/>
      <c r="G51" s="7" t="s">
        <v>29</v>
      </c>
      <c r="H51" s="7" t="s">
        <v>30</v>
      </c>
      <c r="I51" s="8">
        <v>69</v>
      </c>
      <c r="J51" s="9">
        <v>82.65</v>
      </c>
      <c r="K51" s="41">
        <v>5702.85</v>
      </c>
      <c r="L51" s="41"/>
      <c r="M51" s="1"/>
      <c r="N51" s="1"/>
    </row>
    <row r="52" spans="1:14" ht="18">
      <c r="A52" s="1"/>
      <c r="B52" s="40" t="s">
        <v>73</v>
      </c>
      <c r="C52" s="40"/>
      <c r="D52" s="6" t="s">
        <v>20</v>
      </c>
      <c r="E52" s="7" t="s">
        <v>25</v>
      </c>
      <c r="F52" s="6"/>
      <c r="G52" s="7" t="s">
        <v>39</v>
      </c>
      <c r="H52" s="7" t="s">
        <v>40</v>
      </c>
      <c r="I52" s="8">
        <v>500</v>
      </c>
      <c r="J52" s="9">
        <v>8.89</v>
      </c>
      <c r="K52" s="41">
        <v>4445</v>
      </c>
      <c r="L52" s="41"/>
      <c r="M52" s="1"/>
      <c r="N52" s="1"/>
    </row>
    <row r="53" spans="1:14" ht="18">
      <c r="A53" s="1"/>
      <c r="B53" s="35" t="s">
        <v>790</v>
      </c>
      <c r="C53" s="35"/>
      <c r="D53" s="10" t="s">
        <v>20</v>
      </c>
      <c r="E53" s="11" t="s">
        <v>25</v>
      </c>
      <c r="F53" s="10"/>
      <c r="G53" s="11" t="s">
        <v>53</v>
      </c>
      <c r="H53" s="11" t="s">
        <v>54</v>
      </c>
      <c r="I53" s="12">
        <v>138</v>
      </c>
      <c r="J53" s="26">
        <v>30</v>
      </c>
      <c r="K53" s="36">
        <v>3397</v>
      </c>
      <c r="L53" s="36"/>
      <c r="M53" s="1"/>
      <c r="N53" s="1"/>
    </row>
    <row r="54" spans="1:14" ht="14.15" customHeight="1">
      <c r="A54" s="1"/>
      <c r="B54" s="35" t="s">
        <v>74</v>
      </c>
      <c r="C54" s="35"/>
      <c r="D54" s="10" t="s">
        <v>20</v>
      </c>
      <c r="E54" s="11" t="s">
        <v>25</v>
      </c>
      <c r="F54" s="10"/>
      <c r="G54" s="11" t="s">
        <v>53</v>
      </c>
      <c r="H54" s="11" t="s">
        <v>54</v>
      </c>
      <c r="I54" s="12">
        <v>100</v>
      </c>
      <c r="J54" s="13">
        <v>33.97</v>
      </c>
      <c r="K54" s="36">
        <v>3397</v>
      </c>
      <c r="L54" s="36"/>
      <c r="M54" s="1"/>
      <c r="N54" s="1"/>
    </row>
    <row r="55" spans="1:14" ht="18">
      <c r="A55" s="1"/>
      <c r="B55" s="40" t="s">
        <v>75</v>
      </c>
      <c r="C55" s="40"/>
      <c r="D55" s="6" t="s">
        <v>33</v>
      </c>
      <c r="E55" s="7" t="s">
        <v>25</v>
      </c>
      <c r="F55" s="6"/>
      <c r="G55" s="7" t="s">
        <v>46</v>
      </c>
      <c r="H55" s="7" t="s">
        <v>76</v>
      </c>
      <c r="I55" s="8">
        <v>100</v>
      </c>
      <c r="J55" s="9">
        <v>35.270000000000003</v>
      </c>
      <c r="K55" s="41">
        <v>3527</v>
      </c>
      <c r="L55" s="41"/>
      <c r="M55" s="1"/>
      <c r="N55" s="1"/>
    </row>
    <row r="56" spans="1:14" ht="106.25" customHeight="1">
      <c r="A56" s="1"/>
      <c r="B56" s="35" t="s">
        <v>77</v>
      </c>
      <c r="C56" s="35"/>
      <c r="D56" s="10" t="s">
        <v>33</v>
      </c>
      <c r="E56" s="11" t="s">
        <v>25</v>
      </c>
      <c r="F56" s="10"/>
      <c r="G56" s="11" t="s">
        <v>39</v>
      </c>
      <c r="H56" s="11" t="s">
        <v>78</v>
      </c>
      <c r="I56" s="12">
        <v>1100</v>
      </c>
      <c r="J56" s="13">
        <v>10.99</v>
      </c>
      <c r="K56" s="36">
        <v>12089</v>
      </c>
      <c r="L56" s="36"/>
      <c r="M56" s="1"/>
      <c r="N56" s="1"/>
    </row>
    <row r="57" spans="1:14" ht="92.25" customHeight="1">
      <c r="A57" s="1"/>
      <c r="B57" s="37"/>
      <c r="C57" s="37"/>
      <c r="D57" s="1"/>
      <c r="E57" s="1"/>
      <c r="F57" s="1"/>
      <c r="G57" s="1"/>
      <c r="H57" s="1"/>
      <c r="I57" s="1"/>
      <c r="J57" s="1"/>
      <c r="K57" s="38"/>
      <c r="L57" s="38"/>
      <c r="M57" s="1"/>
      <c r="N57" s="1"/>
    </row>
    <row r="58" spans="1:14">
      <c r="B58" s="39" t="s">
        <v>79</v>
      </c>
      <c r="C58" s="39"/>
      <c r="D58" s="39"/>
      <c r="E58" s="39"/>
      <c r="F58" s="39"/>
      <c r="G58" s="39"/>
      <c r="H58" s="39"/>
      <c r="I58" s="39"/>
      <c r="J58" s="39"/>
      <c r="K58" s="39"/>
      <c r="L58" s="39"/>
    </row>
    <row r="59" spans="1:14">
      <c r="B59" s="37"/>
      <c r="C59" s="37"/>
      <c r="D59" s="1"/>
      <c r="E59" s="1"/>
      <c r="F59" s="1"/>
      <c r="G59" s="1"/>
      <c r="H59" s="1"/>
      <c r="I59" s="1"/>
      <c r="J59" s="1"/>
      <c r="K59" s="38"/>
      <c r="L59" s="38"/>
    </row>
    <row r="60" spans="1:14">
      <c r="B60" s="33" t="s">
        <v>80</v>
      </c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4"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</row>
  </sheetData>
  <mergeCells count="113">
    <mergeCell ref="B7:G7"/>
    <mergeCell ref="H7:L7"/>
    <mergeCell ref="B8:G8"/>
    <mergeCell ref="H8:L8"/>
    <mergeCell ref="B9:G9"/>
    <mergeCell ref="H9:L9"/>
    <mergeCell ref="C1:K1"/>
    <mergeCell ref="B4:L4"/>
    <mergeCell ref="B5:G5"/>
    <mergeCell ref="K5:L5"/>
    <mergeCell ref="B6:G6"/>
    <mergeCell ref="H6:L6"/>
    <mergeCell ref="B13:C13"/>
    <mergeCell ref="K13:L13"/>
    <mergeCell ref="B14:C14"/>
    <mergeCell ref="K14:L14"/>
    <mergeCell ref="B15:C15"/>
    <mergeCell ref="K15:L15"/>
    <mergeCell ref="B10:G10"/>
    <mergeCell ref="H10:L10"/>
    <mergeCell ref="B11:C11"/>
    <mergeCell ref="K11:L11"/>
    <mergeCell ref="B12:C12"/>
    <mergeCell ref="K12:L12"/>
    <mergeCell ref="B19:C19"/>
    <mergeCell ref="K19:L19"/>
    <mergeCell ref="B21:C21"/>
    <mergeCell ref="K21:L21"/>
    <mergeCell ref="B22:C22"/>
    <mergeCell ref="K22:L22"/>
    <mergeCell ref="B16:C16"/>
    <mergeCell ref="K16:L16"/>
    <mergeCell ref="B17:C17"/>
    <mergeCell ref="K17:L17"/>
    <mergeCell ref="B18:C18"/>
    <mergeCell ref="K18:L18"/>
    <mergeCell ref="B20:C20"/>
    <mergeCell ref="K20:L20"/>
    <mergeCell ref="B26:C26"/>
    <mergeCell ref="K26:L26"/>
    <mergeCell ref="B27:C27"/>
    <mergeCell ref="K27:L27"/>
    <mergeCell ref="B28:C28"/>
    <mergeCell ref="K28:L28"/>
    <mergeCell ref="B23:C23"/>
    <mergeCell ref="K23:L23"/>
    <mergeCell ref="B24:C24"/>
    <mergeCell ref="K24:L24"/>
    <mergeCell ref="B25:C25"/>
    <mergeCell ref="K25:L25"/>
    <mergeCell ref="B32:C32"/>
    <mergeCell ref="K32:L32"/>
    <mergeCell ref="B34:C34"/>
    <mergeCell ref="K34:L34"/>
    <mergeCell ref="B36:C36"/>
    <mergeCell ref="K36:L36"/>
    <mergeCell ref="B29:C29"/>
    <mergeCell ref="K29:L29"/>
    <mergeCell ref="B30:C30"/>
    <mergeCell ref="K30:L30"/>
    <mergeCell ref="B31:C31"/>
    <mergeCell ref="K31:L31"/>
    <mergeCell ref="B35:C35"/>
    <mergeCell ref="K35:L35"/>
    <mergeCell ref="B33:C33"/>
    <mergeCell ref="K33:L33"/>
    <mergeCell ref="B40:C40"/>
    <mergeCell ref="K40:L40"/>
    <mergeCell ref="B41:C41"/>
    <mergeCell ref="K41:L41"/>
    <mergeCell ref="B42:C42"/>
    <mergeCell ref="K42:L42"/>
    <mergeCell ref="B37:C37"/>
    <mergeCell ref="K37:L37"/>
    <mergeCell ref="B38:C38"/>
    <mergeCell ref="K38:L38"/>
    <mergeCell ref="B39:C39"/>
    <mergeCell ref="K39:L39"/>
    <mergeCell ref="B46:C46"/>
    <mergeCell ref="K46:L46"/>
    <mergeCell ref="B47:C47"/>
    <mergeCell ref="K47:L47"/>
    <mergeCell ref="B48:C48"/>
    <mergeCell ref="K48:L48"/>
    <mergeCell ref="B43:C43"/>
    <mergeCell ref="K43:L43"/>
    <mergeCell ref="B44:C44"/>
    <mergeCell ref="K44:L44"/>
    <mergeCell ref="B45:C45"/>
    <mergeCell ref="K45:L45"/>
    <mergeCell ref="B52:C52"/>
    <mergeCell ref="K52:L52"/>
    <mergeCell ref="B54:C54"/>
    <mergeCell ref="K54:L54"/>
    <mergeCell ref="B55:C55"/>
    <mergeCell ref="K55:L55"/>
    <mergeCell ref="B49:C49"/>
    <mergeCell ref="K49:L49"/>
    <mergeCell ref="B50:C50"/>
    <mergeCell ref="K50:L50"/>
    <mergeCell ref="B51:C51"/>
    <mergeCell ref="K51:L51"/>
    <mergeCell ref="B53:C53"/>
    <mergeCell ref="K53:L53"/>
    <mergeCell ref="B60:L60"/>
    <mergeCell ref="B61:L61"/>
    <mergeCell ref="B56:C56"/>
    <mergeCell ref="K56:L56"/>
    <mergeCell ref="B57:C57"/>
    <mergeCell ref="K57:L57"/>
    <mergeCell ref="B58:L58"/>
    <mergeCell ref="B59:C59"/>
    <mergeCell ref="K59:L59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75A97-ACF4-4677-9A07-8A6032457F09}">
  <sheetPr codeName="Planilha3"/>
  <dimension ref="A1:K37"/>
  <sheetViews>
    <sheetView tabSelected="1" zoomScale="120" zoomScaleNormal="120" workbookViewId="0">
      <selection activeCell="L6" sqref="L6"/>
    </sheetView>
  </sheetViews>
  <sheetFormatPr defaultRowHeight="14.5"/>
  <cols>
    <col min="1" max="1" width="10.7265625" style="19" bestFit="1" customWidth="1"/>
    <col min="2" max="2" width="4.36328125" style="19" bestFit="1" customWidth="1"/>
    <col min="3" max="3" width="7.7265625" style="19" bestFit="1" customWidth="1"/>
    <col min="4" max="4" width="11.1796875" style="19" bestFit="1" customWidth="1"/>
    <col min="5" max="5" width="11.26953125" style="22" bestFit="1" customWidth="1"/>
    <col min="6" max="6" width="15.81640625" style="25" bestFit="1" customWidth="1"/>
    <col min="7" max="7" width="15.1796875" style="19" customWidth="1"/>
    <col min="8" max="8" width="8.7265625" style="19"/>
    <col min="9" max="9" width="7.7265625" bestFit="1" customWidth="1"/>
    <col min="10" max="10" width="8.7265625" style="19"/>
    <col min="11" max="11" width="16.7265625" style="19" bestFit="1" customWidth="1"/>
    <col min="12" max="16384" width="8.7265625" style="19"/>
  </cols>
  <sheetData>
    <row r="1" spans="1:11" ht="14.5" customHeight="1">
      <c r="A1" s="18" t="s">
        <v>778</v>
      </c>
      <c r="B1" s="18" t="s">
        <v>11</v>
      </c>
      <c r="C1" s="18" t="s">
        <v>14</v>
      </c>
      <c r="D1" s="18" t="s">
        <v>16</v>
      </c>
      <c r="E1" s="21" t="s">
        <v>17</v>
      </c>
      <c r="F1" s="21" t="s">
        <v>18</v>
      </c>
      <c r="G1" s="21" t="s">
        <v>786</v>
      </c>
    </row>
    <row r="2" spans="1:11">
      <c r="A2" s="20">
        <v>43938</v>
      </c>
      <c r="B2" s="19" t="s">
        <v>779</v>
      </c>
      <c r="C2" s="19" t="s">
        <v>50</v>
      </c>
      <c r="D2" s="19">
        <v>4000</v>
      </c>
      <c r="E2" s="22">
        <v>0.78</v>
      </c>
      <c r="F2" s="25">
        <v>3120</v>
      </c>
      <c r="G2" s="19" t="s">
        <v>9</v>
      </c>
    </row>
    <row r="3" spans="1:11">
      <c r="A3" s="20">
        <v>43831</v>
      </c>
      <c r="B3" s="19" t="s">
        <v>779</v>
      </c>
      <c r="C3" s="19" t="s">
        <v>34</v>
      </c>
      <c r="D3" s="19">
        <v>300</v>
      </c>
      <c r="E3" s="22">
        <v>0.8</v>
      </c>
      <c r="F3" s="25">
        <v>122</v>
      </c>
      <c r="G3" s="19" t="s">
        <v>9</v>
      </c>
    </row>
    <row r="4" spans="1:11">
      <c r="A4" s="20">
        <v>43901</v>
      </c>
      <c r="B4" s="19" t="s">
        <v>780</v>
      </c>
      <c r="C4" s="19" t="s">
        <v>34</v>
      </c>
      <c r="D4" s="19">
        <v>100</v>
      </c>
      <c r="E4" s="22">
        <v>1.02</v>
      </c>
      <c r="F4" s="28">
        <v>102</v>
      </c>
      <c r="G4" s="19" t="s">
        <v>9</v>
      </c>
    </row>
    <row r="5" spans="1:11">
      <c r="A5" s="20">
        <v>44018</v>
      </c>
      <c r="B5" s="19" t="s">
        <v>780</v>
      </c>
      <c r="C5" s="19" t="s">
        <v>34</v>
      </c>
      <c r="D5" s="19">
        <v>100</v>
      </c>
      <c r="E5" s="22">
        <v>1.22</v>
      </c>
      <c r="F5" s="25">
        <v>122</v>
      </c>
      <c r="G5" s="19" t="s">
        <v>9</v>
      </c>
      <c r="K5" s="19" t="s">
        <v>785</v>
      </c>
    </row>
    <row r="6" spans="1:11">
      <c r="A6" s="20">
        <v>44104</v>
      </c>
      <c r="B6" s="19" t="s">
        <v>779</v>
      </c>
      <c r="C6" s="19" t="s">
        <v>39</v>
      </c>
      <c r="D6" s="19">
        <v>500</v>
      </c>
      <c r="E6" s="22">
        <v>8.89</v>
      </c>
      <c r="F6" s="25">
        <v>4445</v>
      </c>
      <c r="G6" s="19" t="s">
        <v>9</v>
      </c>
      <c r="K6" s="19" t="s">
        <v>782</v>
      </c>
    </row>
    <row r="7" spans="1:11">
      <c r="A7" s="20">
        <v>43831</v>
      </c>
      <c r="B7" s="19" t="s">
        <v>779</v>
      </c>
      <c r="C7" s="19" t="s">
        <v>39</v>
      </c>
      <c r="D7" s="19">
        <v>300</v>
      </c>
      <c r="E7" s="22">
        <v>9</v>
      </c>
      <c r="F7" s="25">
        <v>2835</v>
      </c>
      <c r="G7" s="19" t="s">
        <v>9</v>
      </c>
      <c r="K7" s="19" t="s">
        <v>783</v>
      </c>
    </row>
    <row r="8" spans="1:11">
      <c r="A8" s="20">
        <v>43903</v>
      </c>
      <c r="B8" s="19" t="s">
        <v>779</v>
      </c>
      <c r="C8" s="19" t="s">
        <v>39</v>
      </c>
      <c r="D8" s="19">
        <v>400</v>
      </c>
      <c r="E8" s="22">
        <v>9.4499999999999993</v>
      </c>
      <c r="F8" s="28">
        <v>3780</v>
      </c>
      <c r="G8" s="19" t="s">
        <v>9</v>
      </c>
      <c r="K8" s="19" t="s">
        <v>784</v>
      </c>
    </row>
    <row r="9" spans="1:11">
      <c r="A9" s="20">
        <v>44166</v>
      </c>
      <c r="B9" s="19" t="s">
        <v>780</v>
      </c>
      <c r="C9" s="19" t="s">
        <v>39</v>
      </c>
      <c r="D9" s="19">
        <v>1100</v>
      </c>
      <c r="E9" s="22">
        <v>10.99</v>
      </c>
      <c r="F9" s="25">
        <v>12089</v>
      </c>
      <c r="G9" s="19" t="s">
        <v>9</v>
      </c>
    </row>
    <row r="10" spans="1:11">
      <c r="A10" s="20">
        <v>43903</v>
      </c>
      <c r="B10" s="19" t="s">
        <v>779</v>
      </c>
      <c r="C10" s="19" t="s">
        <v>43</v>
      </c>
      <c r="D10" s="19">
        <v>200</v>
      </c>
      <c r="E10" s="22">
        <v>13.15</v>
      </c>
      <c r="F10" s="25">
        <v>2630</v>
      </c>
      <c r="G10" s="19" t="s">
        <v>9</v>
      </c>
    </row>
    <row r="11" spans="1:11">
      <c r="A11" s="20">
        <v>44005</v>
      </c>
      <c r="B11" s="19" t="s">
        <v>780</v>
      </c>
      <c r="C11" s="19" t="s">
        <v>43</v>
      </c>
      <c r="D11" s="19">
        <v>200</v>
      </c>
      <c r="E11" s="22">
        <v>21.84</v>
      </c>
      <c r="F11" s="25">
        <v>4368</v>
      </c>
      <c r="G11" s="19" t="s">
        <v>9</v>
      </c>
    </row>
    <row r="12" spans="1:11">
      <c r="A12" s="20">
        <v>44034</v>
      </c>
      <c r="B12" s="19" t="s">
        <v>779</v>
      </c>
      <c r="C12" s="19" t="s">
        <v>69</v>
      </c>
      <c r="D12" s="19">
        <v>200</v>
      </c>
      <c r="E12" s="22">
        <v>25.01</v>
      </c>
      <c r="F12" s="28">
        <v>5002</v>
      </c>
      <c r="G12" s="19" t="s">
        <v>9</v>
      </c>
    </row>
    <row r="13" spans="1:11">
      <c r="A13" s="20">
        <v>43924</v>
      </c>
      <c r="B13" s="19" t="s">
        <v>779</v>
      </c>
      <c r="C13" s="19" t="s">
        <v>46</v>
      </c>
      <c r="D13" s="19">
        <v>100</v>
      </c>
      <c r="E13" s="22">
        <v>25.6</v>
      </c>
      <c r="F13" s="25">
        <v>2560</v>
      </c>
      <c r="G13" s="19" t="s">
        <v>9</v>
      </c>
    </row>
    <row r="14" spans="1:11">
      <c r="A14" s="20">
        <v>43831</v>
      </c>
      <c r="B14" s="19" t="s">
        <v>779</v>
      </c>
      <c r="C14" s="19" t="s">
        <v>53</v>
      </c>
      <c r="D14" s="19">
        <v>138</v>
      </c>
      <c r="E14" s="22">
        <v>30</v>
      </c>
      <c r="F14" s="25">
        <v>3397</v>
      </c>
      <c r="G14" s="19" t="s">
        <v>9</v>
      </c>
    </row>
    <row r="15" spans="1:11">
      <c r="A15" s="20">
        <v>44144</v>
      </c>
      <c r="B15" s="19" t="s">
        <v>779</v>
      </c>
      <c r="C15" s="19" t="s">
        <v>53</v>
      </c>
      <c r="D15" s="19">
        <v>100</v>
      </c>
      <c r="E15" s="22">
        <v>33.97</v>
      </c>
      <c r="F15" s="25">
        <v>3397</v>
      </c>
      <c r="G15" s="19" t="s">
        <v>9</v>
      </c>
      <c r="K15" s="32"/>
    </row>
    <row r="16" spans="1:11">
      <c r="A16" s="20">
        <v>44159</v>
      </c>
      <c r="B16" s="19" t="s">
        <v>780</v>
      </c>
      <c r="C16" s="19" t="s">
        <v>46</v>
      </c>
      <c r="D16" s="19">
        <v>100</v>
      </c>
      <c r="E16" s="22">
        <v>35.270000000000003</v>
      </c>
      <c r="F16" s="25">
        <v>3527</v>
      </c>
      <c r="G16" s="19" t="s">
        <v>9</v>
      </c>
    </row>
    <row r="17" spans="1:7">
      <c r="A17" s="20">
        <v>44000</v>
      </c>
      <c r="B17" s="19" t="s">
        <v>780</v>
      </c>
      <c r="C17" s="19" t="s">
        <v>53</v>
      </c>
      <c r="D17" s="19">
        <v>102</v>
      </c>
      <c r="E17" s="22">
        <v>40.299999999999997</v>
      </c>
      <c r="F17" s="28">
        <v>4110.6000000000004</v>
      </c>
      <c r="G17" s="19" t="s">
        <v>9</v>
      </c>
    </row>
    <row r="18" spans="1:7">
      <c r="A18" s="20">
        <v>44001</v>
      </c>
      <c r="B18" s="19" t="s">
        <v>780</v>
      </c>
      <c r="C18" s="19" t="s">
        <v>53</v>
      </c>
      <c r="D18" s="19">
        <v>36</v>
      </c>
      <c r="E18" s="22">
        <v>40.33</v>
      </c>
      <c r="F18" s="25">
        <v>1451.88</v>
      </c>
      <c r="G18" s="19" t="s">
        <v>9</v>
      </c>
    </row>
    <row r="19" spans="1:7">
      <c r="A19" s="20">
        <v>43836</v>
      </c>
      <c r="B19" s="19" t="s">
        <v>779</v>
      </c>
      <c r="C19" s="19" t="s">
        <v>59</v>
      </c>
      <c r="D19" s="19">
        <v>27</v>
      </c>
      <c r="E19" s="22">
        <v>43.45</v>
      </c>
      <c r="F19" s="25">
        <v>1173.1500000000001</v>
      </c>
      <c r="G19" s="19" t="s">
        <v>9</v>
      </c>
    </row>
    <row r="20" spans="1:7">
      <c r="A20" s="20">
        <v>43836</v>
      </c>
      <c r="B20" s="19" t="s">
        <v>779</v>
      </c>
      <c r="C20" s="19" t="s">
        <v>59</v>
      </c>
      <c r="D20" s="19">
        <v>23</v>
      </c>
      <c r="E20" s="22">
        <v>43.46</v>
      </c>
      <c r="F20" s="25">
        <v>999.58</v>
      </c>
      <c r="G20" s="19" t="s">
        <v>9</v>
      </c>
    </row>
    <row r="21" spans="1:7">
      <c r="A21" s="20">
        <v>43831</v>
      </c>
      <c r="B21" s="19" t="s">
        <v>779</v>
      </c>
      <c r="C21" s="19" t="s">
        <v>59</v>
      </c>
      <c r="D21" s="19">
        <v>150</v>
      </c>
      <c r="E21" s="22">
        <v>50</v>
      </c>
      <c r="F21" s="25">
        <v>5678</v>
      </c>
      <c r="G21" s="19" t="s">
        <v>9</v>
      </c>
    </row>
    <row r="22" spans="1:7">
      <c r="A22" s="20">
        <v>44013</v>
      </c>
      <c r="B22" s="19" t="s">
        <v>780</v>
      </c>
      <c r="C22" s="19" t="s">
        <v>59</v>
      </c>
      <c r="D22" s="19">
        <v>100</v>
      </c>
      <c r="E22" s="22">
        <v>56.78</v>
      </c>
      <c r="F22" s="28">
        <v>5678</v>
      </c>
      <c r="G22" s="19" t="s">
        <v>9</v>
      </c>
    </row>
    <row r="23" spans="1:7">
      <c r="A23" s="20">
        <v>43889</v>
      </c>
      <c r="B23" s="19" t="s">
        <v>779</v>
      </c>
      <c r="C23" s="19" t="s">
        <v>730</v>
      </c>
      <c r="D23" s="19">
        <v>32</v>
      </c>
      <c r="E23" s="22">
        <v>63.59</v>
      </c>
      <c r="F23" s="28">
        <v>2034.88</v>
      </c>
      <c r="G23" s="19" t="s">
        <v>9</v>
      </c>
    </row>
    <row r="24" spans="1:7">
      <c r="A24" s="20">
        <v>43887</v>
      </c>
      <c r="B24" s="19" t="s">
        <v>779</v>
      </c>
      <c r="C24" s="19" t="s">
        <v>730</v>
      </c>
      <c r="D24" s="19">
        <v>37</v>
      </c>
      <c r="E24" s="22">
        <v>66.88</v>
      </c>
      <c r="F24" s="25">
        <v>2474.56</v>
      </c>
      <c r="G24" s="19" t="s">
        <v>9</v>
      </c>
    </row>
    <row r="25" spans="1:7">
      <c r="A25" s="20">
        <v>44075</v>
      </c>
      <c r="B25" s="19" t="s">
        <v>780</v>
      </c>
      <c r="C25" s="19" t="s">
        <v>730</v>
      </c>
      <c r="D25" s="19">
        <v>69</v>
      </c>
      <c r="E25" s="22">
        <v>82.65</v>
      </c>
      <c r="F25" s="25">
        <v>5702.85</v>
      </c>
      <c r="G25" s="19" t="s">
        <v>9</v>
      </c>
    </row>
    <row r="26" spans="1:7">
      <c r="A26" s="20">
        <v>43903</v>
      </c>
      <c r="B26" s="19" t="s">
        <v>779</v>
      </c>
      <c r="C26" s="19" t="s">
        <v>37</v>
      </c>
      <c r="D26" s="19">
        <v>30</v>
      </c>
      <c r="E26" s="22">
        <v>94.68</v>
      </c>
      <c r="F26" s="25">
        <v>2840.4</v>
      </c>
      <c r="G26" s="19" t="s">
        <v>9</v>
      </c>
    </row>
    <row r="27" spans="1:7">
      <c r="A27" s="20">
        <v>44054</v>
      </c>
      <c r="B27" s="19" t="s">
        <v>779</v>
      </c>
      <c r="C27" s="19" t="s">
        <v>66</v>
      </c>
      <c r="D27" s="19">
        <v>30</v>
      </c>
      <c r="E27" s="22">
        <v>115.6</v>
      </c>
      <c r="F27" s="25">
        <v>3468</v>
      </c>
      <c r="G27" s="19" t="s">
        <v>9</v>
      </c>
    </row>
    <row r="28" spans="1:7">
      <c r="A28" s="20">
        <v>44019</v>
      </c>
      <c r="B28" s="19" t="s">
        <v>779</v>
      </c>
      <c r="C28" s="19" t="s">
        <v>63</v>
      </c>
      <c r="D28" s="19">
        <v>30</v>
      </c>
      <c r="E28" s="22">
        <v>124.47</v>
      </c>
      <c r="F28" s="28">
        <v>3734.1</v>
      </c>
      <c r="G28" s="19" t="s">
        <v>9</v>
      </c>
    </row>
    <row r="29" spans="1:7">
      <c r="A29" s="20">
        <v>43903</v>
      </c>
      <c r="B29" s="19" t="s">
        <v>779</v>
      </c>
      <c r="C29" s="19" t="s">
        <v>41</v>
      </c>
      <c r="D29" s="19">
        <v>20</v>
      </c>
      <c r="E29" s="22">
        <v>130</v>
      </c>
      <c r="F29" s="25">
        <v>2600</v>
      </c>
      <c r="G29" s="19" t="s">
        <v>9</v>
      </c>
    </row>
    <row r="30" spans="1:7">
      <c r="A30" s="20">
        <v>44027</v>
      </c>
      <c r="B30" s="19" t="s">
        <v>779</v>
      </c>
      <c r="C30" s="19" t="s">
        <v>66</v>
      </c>
      <c r="D30" s="19">
        <v>2</v>
      </c>
      <c r="E30" s="22">
        <v>131.30000000000001</v>
      </c>
      <c r="F30" s="25">
        <v>262.60000000000002</v>
      </c>
      <c r="G30" s="19" t="s">
        <v>9</v>
      </c>
    </row>
    <row r="31" spans="1:7">
      <c r="A31" s="20">
        <v>44027</v>
      </c>
      <c r="B31" s="19" t="s">
        <v>779</v>
      </c>
      <c r="C31" s="19" t="s">
        <v>66</v>
      </c>
      <c r="D31" s="19">
        <v>6</v>
      </c>
      <c r="E31" s="22">
        <v>131.31</v>
      </c>
      <c r="F31" s="25">
        <v>787.86</v>
      </c>
      <c r="G31" s="19" t="s">
        <v>9</v>
      </c>
    </row>
    <row r="32" spans="1:7">
      <c r="A32" s="20">
        <v>44027</v>
      </c>
      <c r="B32" s="19" t="s">
        <v>779</v>
      </c>
      <c r="C32" s="19" t="s">
        <v>66</v>
      </c>
      <c r="D32" s="19">
        <v>5</v>
      </c>
      <c r="E32" s="22">
        <v>131.32</v>
      </c>
      <c r="F32" s="25">
        <v>656.6</v>
      </c>
      <c r="G32" s="19" t="s">
        <v>9</v>
      </c>
    </row>
    <row r="33" spans="1:7">
      <c r="A33" s="20">
        <v>44027</v>
      </c>
      <c r="B33" s="19" t="s">
        <v>779</v>
      </c>
      <c r="C33" s="19" t="s">
        <v>66</v>
      </c>
      <c r="D33" s="19">
        <v>6</v>
      </c>
      <c r="E33" s="22">
        <v>131.33000000000001</v>
      </c>
      <c r="F33" s="28">
        <v>787.98</v>
      </c>
      <c r="G33" s="19" t="s">
        <v>9</v>
      </c>
    </row>
    <row r="34" spans="1:7">
      <c r="A34" s="20">
        <v>44027</v>
      </c>
      <c r="B34" s="19" t="s">
        <v>779</v>
      </c>
      <c r="C34" s="19" t="s">
        <v>66</v>
      </c>
      <c r="D34" s="19">
        <v>10</v>
      </c>
      <c r="E34" s="22">
        <v>131.34</v>
      </c>
      <c r="F34" s="28">
        <v>1313.4</v>
      </c>
      <c r="G34" s="19" t="s">
        <v>9</v>
      </c>
    </row>
    <row r="35" spans="1:7">
      <c r="A35" s="20">
        <v>44027</v>
      </c>
      <c r="B35" s="19" t="s">
        <v>779</v>
      </c>
      <c r="C35" s="19" t="s">
        <v>66</v>
      </c>
      <c r="D35" s="19">
        <v>1</v>
      </c>
      <c r="E35" s="22">
        <v>131.35</v>
      </c>
      <c r="F35" s="25">
        <v>131.35</v>
      </c>
      <c r="G35" s="19" t="s">
        <v>9</v>
      </c>
    </row>
    <row r="36" spans="1:7">
      <c r="A36" s="20">
        <v>43935</v>
      </c>
      <c r="B36" s="19" t="s">
        <v>780</v>
      </c>
      <c r="C36" s="19" t="s">
        <v>41</v>
      </c>
      <c r="D36" s="19">
        <v>20</v>
      </c>
      <c r="E36" s="22">
        <v>158</v>
      </c>
      <c r="F36" s="28">
        <v>3160</v>
      </c>
      <c r="G36" s="19" t="s">
        <v>9</v>
      </c>
    </row>
    <row r="37" spans="1:7">
      <c r="A37" s="20">
        <v>43854</v>
      </c>
      <c r="B37" s="19" t="s">
        <v>779</v>
      </c>
      <c r="C37" s="19" t="s">
        <v>26</v>
      </c>
      <c r="D37" s="19">
        <v>20</v>
      </c>
      <c r="E37" s="22">
        <v>184.59</v>
      </c>
      <c r="F37" s="25">
        <v>3691.8</v>
      </c>
      <c r="G37" s="19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25FF9-170C-4664-AB59-253471EADC79}">
  <sheetPr codeName="Planilha4"/>
  <dimension ref="A1:F236"/>
  <sheetViews>
    <sheetView workbookViewId="0">
      <selection activeCell="A2" sqref="A2"/>
    </sheetView>
  </sheetViews>
  <sheetFormatPr defaultRowHeight="14.5"/>
  <cols>
    <col min="2" max="2" width="19.08984375" customWidth="1"/>
    <col min="3" max="3" width="59" customWidth="1"/>
    <col min="4" max="4" width="23.6328125" customWidth="1"/>
  </cols>
  <sheetData>
    <row r="1" spans="1:6">
      <c r="A1" s="24" t="s">
        <v>14</v>
      </c>
      <c r="B1" s="24" t="s">
        <v>781</v>
      </c>
      <c r="C1" s="17" t="s">
        <v>87</v>
      </c>
      <c r="D1" s="17" t="s">
        <v>81</v>
      </c>
    </row>
    <row r="2" spans="1:6">
      <c r="A2" s="16" t="s">
        <v>88</v>
      </c>
      <c r="B2" s="16" t="str">
        <f>_xlfn.CONCAT(A2,"F")</f>
        <v>AALR3F</v>
      </c>
      <c r="C2" s="16" t="s">
        <v>89</v>
      </c>
      <c r="D2" s="16" t="s">
        <v>90</v>
      </c>
      <c r="F2" s="19"/>
    </row>
    <row r="3" spans="1:6">
      <c r="A3" s="15" t="s">
        <v>91</v>
      </c>
      <c r="B3" s="15" t="str">
        <f t="shared" ref="B3:B66" si="0">_xlfn.CONCAT(A3,"F")</f>
        <v>ABCB4F</v>
      </c>
      <c r="C3" s="15" t="s">
        <v>92</v>
      </c>
      <c r="D3" s="15" t="s">
        <v>93</v>
      </c>
      <c r="F3" s="19"/>
    </row>
    <row r="4" spans="1:6">
      <c r="A4" s="15" t="s">
        <v>94</v>
      </c>
      <c r="B4" s="15" t="str">
        <f t="shared" si="0"/>
        <v>ABEV3F</v>
      </c>
      <c r="C4" s="15" t="s">
        <v>95</v>
      </c>
      <c r="D4" s="15" t="s">
        <v>96</v>
      </c>
      <c r="F4" s="19"/>
    </row>
    <row r="5" spans="1:6">
      <c r="A5" s="15" t="s">
        <v>97</v>
      </c>
      <c r="B5" s="15" t="str">
        <f t="shared" si="0"/>
        <v>AERI3F</v>
      </c>
      <c r="C5" s="15" t="s">
        <v>98</v>
      </c>
      <c r="D5" s="15" t="s">
        <v>99</v>
      </c>
      <c r="F5" s="19"/>
    </row>
    <row r="6" spans="1:6">
      <c r="A6" s="15" t="s">
        <v>100</v>
      </c>
      <c r="B6" s="15" t="str">
        <f t="shared" si="0"/>
        <v>AGRO3F</v>
      </c>
      <c r="C6" s="15" t="s">
        <v>101</v>
      </c>
      <c r="D6" s="15" t="s">
        <v>102</v>
      </c>
      <c r="F6" s="19"/>
    </row>
    <row r="7" spans="1:6">
      <c r="A7" s="15" t="s">
        <v>724</v>
      </c>
      <c r="B7" s="15" t="str">
        <f t="shared" si="0"/>
        <v>ALPA3F</v>
      </c>
      <c r="C7" s="15" t="s">
        <v>103</v>
      </c>
      <c r="D7" s="15" t="s">
        <v>104</v>
      </c>
      <c r="F7" s="23"/>
    </row>
    <row r="8" spans="1:6">
      <c r="A8" s="15" t="s">
        <v>105</v>
      </c>
      <c r="B8" s="15" t="str">
        <f t="shared" si="0"/>
        <v>ALPK3F</v>
      </c>
      <c r="C8" s="15" t="s">
        <v>106</v>
      </c>
      <c r="D8" s="15" t="s">
        <v>107</v>
      </c>
      <c r="F8" s="19"/>
    </row>
    <row r="9" spans="1:6">
      <c r="A9" s="15" t="s">
        <v>725</v>
      </c>
      <c r="B9" s="15" t="str">
        <f t="shared" si="0"/>
        <v>ALUP11F</v>
      </c>
      <c r="C9" s="15" t="s">
        <v>108</v>
      </c>
      <c r="D9" s="15" t="s">
        <v>109</v>
      </c>
      <c r="F9" s="19"/>
    </row>
    <row r="10" spans="1:6">
      <c r="A10" s="15" t="s">
        <v>110</v>
      </c>
      <c r="B10" s="15" t="str">
        <f t="shared" si="0"/>
        <v>AMAR3F</v>
      </c>
      <c r="C10" s="15" t="s">
        <v>111</v>
      </c>
      <c r="D10" s="15" t="s">
        <v>112</v>
      </c>
      <c r="F10" s="19"/>
    </row>
    <row r="11" spans="1:6">
      <c r="A11" s="15" t="s">
        <v>113</v>
      </c>
      <c r="B11" s="15" t="str">
        <f t="shared" si="0"/>
        <v>AMBP3F</v>
      </c>
      <c r="C11" s="15" t="s">
        <v>114</v>
      </c>
      <c r="D11" s="15" t="s">
        <v>115</v>
      </c>
      <c r="F11" s="19"/>
    </row>
    <row r="12" spans="1:6">
      <c r="A12" s="15" t="s">
        <v>116</v>
      </c>
      <c r="B12" s="15" t="str">
        <f t="shared" si="0"/>
        <v>ANIM3F</v>
      </c>
      <c r="C12" s="15" t="s">
        <v>117</v>
      </c>
      <c r="D12" s="15" t="s">
        <v>118</v>
      </c>
      <c r="F12" s="19"/>
    </row>
    <row r="13" spans="1:6">
      <c r="A13" s="15" t="s">
        <v>119</v>
      </c>
      <c r="B13" s="15" t="str">
        <f t="shared" si="0"/>
        <v>ARZZ3F</v>
      </c>
      <c r="C13" s="15" t="s">
        <v>120</v>
      </c>
      <c r="D13" s="15" t="s">
        <v>121</v>
      </c>
      <c r="F13" s="19"/>
    </row>
    <row r="14" spans="1:6">
      <c r="A14" s="15" t="s">
        <v>122</v>
      </c>
      <c r="B14" s="15" t="str">
        <f t="shared" si="0"/>
        <v>ATOM3F</v>
      </c>
      <c r="C14" s="15" t="s">
        <v>123</v>
      </c>
      <c r="D14" s="15" t="s">
        <v>124</v>
      </c>
      <c r="F14" s="19"/>
    </row>
    <row r="15" spans="1:6">
      <c r="A15" s="15" t="s">
        <v>125</v>
      </c>
      <c r="B15" s="15" t="str">
        <f t="shared" si="0"/>
        <v>AVLL3F</v>
      </c>
      <c r="C15" s="15" t="s">
        <v>126</v>
      </c>
      <c r="D15" s="15" t="s">
        <v>127</v>
      </c>
      <c r="F15" s="19"/>
    </row>
    <row r="16" spans="1:6">
      <c r="A16" s="15" t="s">
        <v>128</v>
      </c>
      <c r="B16" s="15" t="str">
        <f t="shared" si="0"/>
        <v>AZUL4F</v>
      </c>
      <c r="C16" s="15" t="s">
        <v>129</v>
      </c>
      <c r="D16" s="15" t="s">
        <v>130</v>
      </c>
      <c r="F16" s="19"/>
    </row>
    <row r="17" spans="1:6">
      <c r="A17" s="15" t="s">
        <v>59</v>
      </c>
      <c r="B17" s="15" t="str">
        <f t="shared" si="0"/>
        <v>B3SA3F</v>
      </c>
      <c r="C17" s="15" t="s">
        <v>131</v>
      </c>
      <c r="D17" s="15" t="s">
        <v>82</v>
      </c>
      <c r="F17" s="19"/>
    </row>
    <row r="18" spans="1:6">
      <c r="A18" s="15" t="s">
        <v>726</v>
      </c>
      <c r="B18" s="15" t="str">
        <f t="shared" si="0"/>
        <v>BAUH3F</v>
      </c>
      <c r="C18" s="15" t="s">
        <v>132</v>
      </c>
      <c r="D18" s="15" t="s">
        <v>133</v>
      </c>
    </row>
    <row r="19" spans="1:6">
      <c r="A19" s="15" t="s">
        <v>46</v>
      </c>
      <c r="B19" s="15" t="str">
        <f t="shared" si="0"/>
        <v>BBAS3F</v>
      </c>
      <c r="C19" s="15" t="s">
        <v>134</v>
      </c>
      <c r="D19" s="15" t="s">
        <v>135</v>
      </c>
    </row>
    <row r="20" spans="1:6">
      <c r="A20" s="15" t="s">
        <v>727</v>
      </c>
      <c r="B20" s="15" t="str">
        <f t="shared" si="0"/>
        <v>BBDC3F</v>
      </c>
      <c r="C20" s="15" t="s">
        <v>136</v>
      </c>
      <c r="D20" s="15" t="s">
        <v>137</v>
      </c>
    </row>
    <row r="21" spans="1:6">
      <c r="A21" s="15" t="s">
        <v>138</v>
      </c>
      <c r="B21" s="15" t="str">
        <f t="shared" si="0"/>
        <v>BBRK3F</v>
      </c>
      <c r="C21" s="15" t="s">
        <v>139</v>
      </c>
      <c r="D21" s="15" t="s">
        <v>140</v>
      </c>
    </row>
    <row r="22" spans="1:6">
      <c r="A22" s="15" t="s">
        <v>141</v>
      </c>
      <c r="B22" s="15" t="str">
        <f t="shared" si="0"/>
        <v>BBSE3F</v>
      </c>
      <c r="C22" s="15" t="s">
        <v>142</v>
      </c>
      <c r="D22" s="15" t="s">
        <v>143</v>
      </c>
    </row>
    <row r="23" spans="1:6">
      <c r="A23" s="15" t="s">
        <v>144</v>
      </c>
      <c r="B23" s="15" t="str">
        <f t="shared" si="0"/>
        <v>BEEF3F</v>
      </c>
      <c r="C23" s="15" t="s">
        <v>145</v>
      </c>
      <c r="D23" s="15" t="s">
        <v>146</v>
      </c>
    </row>
    <row r="24" spans="1:6">
      <c r="A24" s="15" t="s">
        <v>728</v>
      </c>
      <c r="B24" s="15" t="str">
        <f t="shared" si="0"/>
        <v>BIDI4F</v>
      </c>
      <c r="C24" s="15" t="s">
        <v>85</v>
      </c>
      <c r="D24" s="15" t="s">
        <v>86</v>
      </c>
    </row>
    <row r="25" spans="1:6">
      <c r="A25" s="15" t="s">
        <v>147</v>
      </c>
      <c r="B25" s="15" t="str">
        <f t="shared" si="0"/>
        <v>BOAS3F</v>
      </c>
      <c r="C25" s="15" t="s">
        <v>148</v>
      </c>
      <c r="D25" s="15" t="s">
        <v>149</v>
      </c>
    </row>
    <row r="26" spans="1:6">
      <c r="A26" s="15" t="s">
        <v>729</v>
      </c>
      <c r="B26" s="15" t="str">
        <f t="shared" si="0"/>
        <v>BOBR3F</v>
      </c>
      <c r="C26" s="15" t="s">
        <v>150</v>
      </c>
      <c r="D26" s="15" t="s">
        <v>151</v>
      </c>
    </row>
    <row r="27" spans="1:6">
      <c r="A27" s="15" t="s">
        <v>730</v>
      </c>
      <c r="B27" s="15" t="str">
        <f t="shared" si="0"/>
        <v>BPAC11F</v>
      </c>
      <c r="C27" s="15" t="s">
        <v>152</v>
      </c>
      <c r="D27" s="15" t="s">
        <v>153</v>
      </c>
    </row>
    <row r="28" spans="1:6">
      <c r="A28" s="15" t="s">
        <v>154</v>
      </c>
      <c r="B28" s="15" t="str">
        <f t="shared" si="0"/>
        <v>BPAN4F</v>
      </c>
      <c r="C28" s="15" t="s">
        <v>155</v>
      </c>
      <c r="D28" s="15" t="s">
        <v>156</v>
      </c>
    </row>
    <row r="29" spans="1:6">
      <c r="A29" s="15" t="s">
        <v>731</v>
      </c>
      <c r="B29" s="15" t="str">
        <f t="shared" si="0"/>
        <v>BRAP3F</v>
      </c>
      <c r="C29" s="15" t="s">
        <v>157</v>
      </c>
      <c r="D29" s="15" t="s">
        <v>158</v>
      </c>
    </row>
    <row r="30" spans="1:6">
      <c r="A30" s="15" t="s">
        <v>159</v>
      </c>
      <c r="B30" s="15" t="str">
        <f t="shared" si="0"/>
        <v>BRDT3F</v>
      </c>
      <c r="C30" s="15" t="s">
        <v>160</v>
      </c>
      <c r="D30" s="15" t="s">
        <v>161</v>
      </c>
    </row>
    <row r="31" spans="1:6">
      <c r="A31" s="15" t="s">
        <v>162</v>
      </c>
      <c r="B31" s="15" t="str">
        <f t="shared" si="0"/>
        <v>BRFS3F</v>
      </c>
      <c r="C31" s="15" t="s">
        <v>163</v>
      </c>
      <c r="D31" s="15" t="s">
        <v>164</v>
      </c>
    </row>
    <row r="32" spans="1:6">
      <c r="A32" s="15" t="s">
        <v>732</v>
      </c>
      <c r="B32" s="15" t="str">
        <f t="shared" si="0"/>
        <v>BRKM3F</v>
      </c>
      <c r="C32" s="15" t="s">
        <v>165</v>
      </c>
      <c r="D32" s="15" t="s">
        <v>166</v>
      </c>
    </row>
    <row r="33" spans="1:4">
      <c r="A33" s="15" t="s">
        <v>167</v>
      </c>
      <c r="B33" s="15" t="str">
        <f t="shared" si="0"/>
        <v>BRML3F</v>
      </c>
      <c r="C33" s="15" t="s">
        <v>168</v>
      </c>
      <c r="D33" s="15" t="s">
        <v>169</v>
      </c>
    </row>
    <row r="34" spans="1:4">
      <c r="A34" s="15" t="s">
        <v>170</v>
      </c>
      <c r="B34" s="15" t="str">
        <f t="shared" si="0"/>
        <v>BRPR3F</v>
      </c>
      <c r="C34" s="15" t="s">
        <v>171</v>
      </c>
      <c r="D34" s="15" t="s">
        <v>172</v>
      </c>
    </row>
    <row r="35" spans="1:4">
      <c r="A35" s="15" t="s">
        <v>173</v>
      </c>
      <c r="B35" s="15" t="str">
        <f t="shared" si="0"/>
        <v>BMGB4F</v>
      </c>
      <c r="C35" s="15" t="s">
        <v>83</v>
      </c>
      <c r="D35" s="15" t="s">
        <v>84</v>
      </c>
    </row>
    <row r="36" spans="1:4">
      <c r="A36" s="15" t="s">
        <v>733</v>
      </c>
      <c r="B36" s="15" t="str">
        <f t="shared" si="0"/>
        <v>BRSR3F</v>
      </c>
      <c r="C36" s="15" t="s">
        <v>174</v>
      </c>
      <c r="D36" s="15" t="s">
        <v>175</v>
      </c>
    </row>
    <row r="37" spans="1:4">
      <c r="A37" s="15" t="s">
        <v>176</v>
      </c>
      <c r="B37" s="15" t="str">
        <f t="shared" si="0"/>
        <v>BSEV3F</v>
      </c>
      <c r="C37" s="15" t="s">
        <v>177</v>
      </c>
      <c r="D37" s="15" t="s">
        <v>178</v>
      </c>
    </row>
    <row r="38" spans="1:4">
      <c r="A38" s="15" t="s">
        <v>179</v>
      </c>
      <c r="B38" s="15" t="str">
        <f t="shared" si="0"/>
        <v>BTOW3F</v>
      </c>
      <c r="C38" s="15" t="s">
        <v>180</v>
      </c>
      <c r="D38" s="15" t="s">
        <v>181</v>
      </c>
    </row>
    <row r="39" spans="1:4">
      <c r="A39" s="15" t="s">
        <v>182</v>
      </c>
      <c r="B39" s="15" t="str">
        <f t="shared" si="0"/>
        <v>CAML3F</v>
      </c>
      <c r="C39" s="15" t="s">
        <v>183</v>
      </c>
      <c r="D39" s="15" t="s">
        <v>184</v>
      </c>
    </row>
    <row r="40" spans="1:4">
      <c r="A40" s="15" t="s">
        <v>185</v>
      </c>
      <c r="B40" s="15" t="str">
        <f t="shared" si="0"/>
        <v>CARD3F</v>
      </c>
      <c r="C40" s="15" t="s">
        <v>186</v>
      </c>
      <c r="D40" s="15" t="s">
        <v>187</v>
      </c>
    </row>
    <row r="41" spans="1:4">
      <c r="A41" s="15" t="s">
        <v>188</v>
      </c>
      <c r="B41" s="15" t="str">
        <f t="shared" si="0"/>
        <v>CASH3F</v>
      </c>
      <c r="C41" s="15" t="s">
        <v>189</v>
      </c>
      <c r="D41" s="15" t="s">
        <v>190</v>
      </c>
    </row>
    <row r="42" spans="1:4">
      <c r="A42" s="15" t="s">
        <v>191</v>
      </c>
      <c r="B42" s="15" t="str">
        <f t="shared" si="0"/>
        <v>CCRO3F</v>
      </c>
      <c r="C42" s="15" t="s">
        <v>192</v>
      </c>
      <c r="D42" s="15" t="s">
        <v>193</v>
      </c>
    </row>
    <row r="43" spans="1:4">
      <c r="A43" s="15" t="s">
        <v>194</v>
      </c>
      <c r="B43" s="15" t="str">
        <f t="shared" si="0"/>
        <v>CCPR3F</v>
      </c>
      <c r="C43" s="15" t="s">
        <v>195</v>
      </c>
      <c r="D43" s="15" t="s">
        <v>196</v>
      </c>
    </row>
    <row r="44" spans="1:4">
      <c r="A44" s="15" t="s">
        <v>197</v>
      </c>
      <c r="B44" s="15" t="str">
        <f t="shared" si="0"/>
        <v>CEAB3F</v>
      </c>
      <c r="C44" s="15" t="s">
        <v>198</v>
      </c>
      <c r="D44" s="15" t="s">
        <v>199</v>
      </c>
    </row>
    <row r="45" spans="1:4">
      <c r="A45" s="15" t="s">
        <v>734</v>
      </c>
      <c r="B45" s="15" t="str">
        <f t="shared" si="0"/>
        <v>CEPE3F</v>
      </c>
      <c r="C45" s="15" t="s">
        <v>200</v>
      </c>
      <c r="D45" s="15" t="s">
        <v>201</v>
      </c>
    </row>
    <row r="46" spans="1:4">
      <c r="A46" s="15" t="s">
        <v>735</v>
      </c>
      <c r="B46" s="15" t="str">
        <f t="shared" si="0"/>
        <v>CESP3F</v>
      </c>
      <c r="C46" s="15" t="s">
        <v>202</v>
      </c>
      <c r="D46" s="15" t="s">
        <v>203</v>
      </c>
    </row>
    <row r="47" spans="1:4">
      <c r="A47" s="15" t="s">
        <v>736</v>
      </c>
      <c r="B47" s="15" t="str">
        <f t="shared" si="0"/>
        <v>CGAS3F</v>
      </c>
      <c r="C47" s="15" t="s">
        <v>204</v>
      </c>
      <c r="D47" s="15" t="s">
        <v>205</v>
      </c>
    </row>
    <row r="48" spans="1:4">
      <c r="A48" s="15" t="s">
        <v>737</v>
      </c>
      <c r="B48" s="15" t="str">
        <f t="shared" si="0"/>
        <v>CGRA3F</v>
      </c>
      <c r="C48" s="15" t="s">
        <v>206</v>
      </c>
      <c r="D48" s="15" t="s">
        <v>207</v>
      </c>
    </row>
    <row r="49" spans="1:4">
      <c r="A49" s="15" t="s">
        <v>208</v>
      </c>
      <c r="B49" s="15" t="str">
        <f t="shared" si="0"/>
        <v>CIEL3F</v>
      </c>
      <c r="C49" s="15" t="s">
        <v>209</v>
      </c>
      <c r="D49" s="15" t="s">
        <v>210</v>
      </c>
    </row>
    <row r="50" spans="1:4">
      <c r="A50" s="15" t="s">
        <v>738</v>
      </c>
      <c r="B50" s="15" t="str">
        <f t="shared" si="0"/>
        <v>CMIG3F</v>
      </c>
      <c r="C50" s="15" t="s">
        <v>211</v>
      </c>
      <c r="D50" s="15" t="s">
        <v>212</v>
      </c>
    </row>
    <row r="51" spans="1:4">
      <c r="A51" s="15" t="s">
        <v>213</v>
      </c>
      <c r="B51" s="15" t="str">
        <f t="shared" si="0"/>
        <v>CNTO3F</v>
      </c>
      <c r="C51" s="15" t="s">
        <v>214</v>
      </c>
      <c r="D51" s="15" t="s">
        <v>215</v>
      </c>
    </row>
    <row r="52" spans="1:4">
      <c r="A52" s="15" t="s">
        <v>739</v>
      </c>
      <c r="B52" s="15" t="str">
        <f t="shared" si="0"/>
        <v>COCE3F</v>
      </c>
      <c r="C52" s="15" t="s">
        <v>216</v>
      </c>
      <c r="D52" s="15" t="s">
        <v>217</v>
      </c>
    </row>
    <row r="53" spans="1:4">
      <c r="A53" s="15" t="s">
        <v>218</v>
      </c>
      <c r="B53" s="15" t="str">
        <f t="shared" si="0"/>
        <v>CPFE3F</v>
      </c>
      <c r="C53" s="15" t="s">
        <v>219</v>
      </c>
      <c r="D53" s="15" t="s">
        <v>220</v>
      </c>
    </row>
    <row r="54" spans="1:4">
      <c r="A54" s="15" t="s">
        <v>221</v>
      </c>
      <c r="B54" s="15" t="str">
        <f t="shared" si="0"/>
        <v>CREM3F</v>
      </c>
      <c r="C54" s="15" t="s">
        <v>222</v>
      </c>
      <c r="D54" s="15" t="s">
        <v>223</v>
      </c>
    </row>
    <row r="55" spans="1:4">
      <c r="A55" s="15" t="s">
        <v>224</v>
      </c>
      <c r="B55" s="15" t="str">
        <f t="shared" si="0"/>
        <v>CRFB3F</v>
      </c>
      <c r="C55" s="15" t="s">
        <v>225</v>
      </c>
      <c r="D55" s="15" t="s">
        <v>226</v>
      </c>
    </row>
    <row r="56" spans="1:4">
      <c r="A56" s="15" t="s">
        <v>227</v>
      </c>
      <c r="B56" s="15" t="str">
        <f t="shared" si="0"/>
        <v>CSAN3F</v>
      </c>
      <c r="C56" s="15" t="s">
        <v>228</v>
      </c>
      <c r="D56" s="15" t="s">
        <v>229</v>
      </c>
    </row>
    <row r="57" spans="1:4">
      <c r="A57" s="15" t="s">
        <v>230</v>
      </c>
      <c r="B57" s="15" t="str">
        <f t="shared" si="0"/>
        <v>CSMG3F</v>
      </c>
      <c r="C57" s="15" t="s">
        <v>231</v>
      </c>
      <c r="D57" s="15" t="s">
        <v>232</v>
      </c>
    </row>
    <row r="58" spans="1:4">
      <c r="A58" s="15" t="s">
        <v>233</v>
      </c>
      <c r="B58" s="15" t="str">
        <f t="shared" si="0"/>
        <v>CSNA3F</v>
      </c>
      <c r="C58" s="15" t="s">
        <v>234</v>
      </c>
      <c r="D58" s="15" t="s">
        <v>235</v>
      </c>
    </row>
    <row r="59" spans="1:4">
      <c r="A59" s="15" t="s">
        <v>236</v>
      </c>
      <c r="B59" s="15" t="str">
        <f t="shared" si="0"/>
        <v>COGN3F</v>
      </c>
      <c r="C59" s="15" t="s">
        <v>237</v>
      </c>
      <c r="D59" s="15" t="s">
        <v>238</v>
      </c>
    </row>
    <row r="60" spans="1:4">
      <c r="A60" s="15" t="s">
        <v>740</v>
      </c>
      <c r="B60" s="15" t="str">
        <f t="shared" si="0"/>
        <v>CTKA3F</v>
      </c>
      <c r="C60" s="15" t="s">
        <v>239</v>
      </c>
      <c r="D60" s="15" t="s">
        <v>240</v>
      </c>
    </row>
    <row r="61" spans="1:4">
      <c r="A61" s="15" t="s">
        <v>741</v>
      </c>
      <c r="B61" s="15" t="str">
        <f t="shared" si="0"/>
        <v>CTNM3F</v>
      </c>
      <c r="C61" s="15" t="s">
        <v>241</v>
      </c>
      <c r="D61" s="15" t="s">
        <v>242</v>
      </c>
    </row>
    <row r="62" spans="1:4">
      <c r="A62" s="15" t="s">
        <v>243</v>
      </c>
      <c r="B62" s="15" t="str">
        <f t="shared" si="0"/>
        <v>CURY3F</v>
      </c>
      <c r="C62" s="15" t="s">
        <v>244</v>
      </c>
      <c r="D62" s="15" t="s">
        <v>245</v>
      </c>
    </row>
    <row r="63" spans="1:4">
      <c r="A63" s="15" t="s">
        <v>246</v>
      </c>
      <c r="B63" s="15" t="str">
        <f t="shared" si="0"/>
        <v>CVCB3F</v>
      </c>
      <c r="C63" s="15" t="s">
        <v>247</v>
      </c>
      <c r="D63" s="15" t="s">
        <v>248</v>
      </c>
    </row>
    <row r="64" spans="1:4">
      <c r="A64" s="15" t="s">
        <v>249</v>
      </c>
      <c r="B64" s="15" t="str">
        <f t="shared" si="0"/>
        <v>CYRE3F</v>
      </c>
      <c r="C64" s="15" t="s">
        <v>250</v>
      </c>
      <c r="D64" s="15" t="s">
        <v>251</v>
      </c>
    </row>
    <row r="65" spans="1:4">
      <c r="A65" s="15" t="s">
        <v>252</v>
      </c>
      <c r="B65" s="15" t="str">
        <f t="shared" si="0"/>
        <v>DAGB33F</v>
      </c>
      <c r="C65" s="15" t="s">
        <v>253</v>
      </c>
      <c r="D65" s="15" t="s">
        <v>254</v>
      </c>
    </row>
    <row r="66" spans="1:4">
      <c r="A66" s="15" t="s">
        <v>255</v>
      </c>
      <c r="B66" s="15" t="str">
        <f t="shared" si="0"/>
        <v>DIRR3F</v>
      </c>
      <c r="C66" s="15" t="s">
        <v>256</v>
      </c>
      <c r="D66" s="15" t="s">
        <v>257</v>
      </c>
    </row>
    <row r="67" spans="1:4">
      <c r="A67" s="15" t="s">
        <v>258</v>
      </c>
      <c r="B67" s="15" t="str">
        <f t="shared" ref="B67:B130" si="1">_xlfn.CONCAT(A67,"F")</f>
        <v>DMMO3F</v>
      </c>
      <c r="C67" s="15" t="s">
        <v>259</v>
      </c>
      <c r="D67" s="15" t="s">
        <v>260</v>
      </c>
    </row>
    <row r="68" spans="1:4">
      <c r="A68" s="15" t="s">
        <v>261</v>
      </c>
      <c r="B68" s="15" t="str">
        <f t="shared" si="1"/>
        <v>DMVF3F</v>
      </c>
      <c r="C68" s="15" t="s">
        <v>262</v>
      </c>
      <c r="D68" s="15" t="s">
        <v>263</v>
      </c>
    </row>
    <row r="69" spans="1:4">
      <c r="A69" s="15" t="s">
        <v>264</v>
      </c>
      <c r="B69" s="15" t="str">
        <f t="shared" si="1"/>
        <v>DTEX3F</v>
      </c>
      <c r="C69" s="15" t="s">
        <v>265</v>
      </c>
      <c r="D69" s="15" t="s">
        <v>266</v>
      </c>
    </row>
    <row r="70" spans="1:4">
      <c r="A70" s="15" t="s">
        <v>267</v>
      </c>
      <c r="B70" s="15" t="str">
        <f t="shared" si="1"/>
        <v>ECOR3F</v>
      </c>
      <c r="C70" s="15" t="s">
        <v>268</v>
      </c>
      <c r="D70" s="15" t="s">
        <v>269</v>
      </c>
    </row>
    <row r="71" spans="1:4">
      <c r="A71" s="15" t="s">
        <v>270</v>
      </c>
      <c r="B71" s="15" t="str">
        <f t="shared" si="1"/>
        <v>EGIE3F</v>
      </c>
      <c r="C71" s="15" t="s">
        <v>271</v>
      </c>
      <c r="D71" s="15" t="s">
        <v>272</v>
      </c>
    </row>
    <row r="72" spans="1:4">
      <c r="A72" s="15" t="s">
        <v>742</v>
      </c>
      <c r="B72" s="15" t="str">
        <f t="shared" si="1"/>
        <v>ELEK3F</v>
      </c>
      <c r="C72" s="15" t="s">
        <v>273</v>
      </c>
      <c r="D72" s="15" t="s">
        <v>274</v>
      </c>
    </row>
    <row r="73" spans="1:4">
      <c r="A73" s="15" t="s">
        <v>275</v>
      </c>
      <c r="B73" s="15" t="str">
        <f t="shared" si="1"/>
        <v>ELPL3F</v>
      </c>
      <c r="C73" s="15" t="s">
        <v>276</v>
      </c>
      <c r="D73" s="15" t="s">
        <v>277</v>
      </c>
    </row>
    <row r="74" spans="1:4">
      <c r="A74" s="15" t="s">
        <v>743</v>
      </c>
      <c r="B74" s="15" t="str">
        <f t="shared" si="1"/>
        <v>ELET3F</v>
      </c>
      <c r="C74" s="15" t="s">
        <v>278</v>
      </c>
      <c r="D74" s="15" t="s">
        <v>279</v>
      </c>
    </row>
    <row r="75" spans="1:4">
      <c r="A75" s="15" t="s">
        <v>280</v>
      </c>
      <c r="B75" s="15" t="str">
        <f t="shared" si="1"/>
        <v>EMBR3F</v>
      </c>
      <c r="C75" s="15" t="s">
        <v>281</v>
      </c>
      <c r="D75" s="15" t="s">
        <v>282</v>
      </c>
    </row>
    <row r="76" spans="1:4">
      <c r="A76" s="15" t="s">
        <v>283</v>
      </c>
      <c r="B76" s="15" t="str">
        <f t="shared" si="1"/>
        <v>ENAT3F</v>
      </c>
      <c r="C76" s="15" t="s">
        <v>284</v>
      </c>
      <c r="D76" s="15" t="s">
        <v>285</v>
      </c>
    </row>
    <row r="77" spans="1:4">
      <c r="A77" s="15" t="s">
        <v>286</v>
      </c>
      <c r="B77" s="15" t="str">
        <f t="shared" si="1"/>
        <v>ENBR3F</v>
      </c>
      <c r="C77" s="15" t="s">
        <v>287</v>
      </c>
      <c r="D77" s="15" t="s">
        <v>288</v>
      </c>
    </row>
    <row r="78" spans="1:4">
      <c r="A78" s="15" t="s">
        <v>289</v>
      </c>
      <c r="B78" s="15" t="str">
        <f t="shared" si="1"/>
        <v>ENEV3F</v>
      </c>
      <c r="C78" s="15" t="s">
        <v>290</v>
      </c>
      <c r="D78" s="15" t="s">
        <v>291</v>
      </c>
    </row>
    <row r="79" spans="1:4">
      <c r="A79" s="15" t="s">
        <v>744</v>
      </c>
      <c r="B79" s="15" t="str">
        <f t="shared" si="1"/>
        <v>ENGI11F</v>
      </c>
      <c r="C79" s="15" t="s">
        <v>292</v>
      </c>
      <c r="D79" s="15" t="s">
        <v>293</v>
      </c>
    </row>
    <row r="80" spans="1:4">
      <c r="A80" s="15" t="s">
        <v>294</v>
      </c>
      <c r="B80" s="15" t="str">
        <f t="shared" si="1"/>
        <v>ENJU3F</v>
      </c>
      <c r="C80" s="15" t="s">
        <v>295</v>
      </c>
      <c r="D80" s="15" t="s">
        <v>296</v>
      </c>
    </row>
    <row r="81" spans="1:4">
      <c r="A81" s="15" t="s">
        <v>297</v>
      </c>
      <c r="B81" s="15" t="str">
        <f t="shared" si="1"/>
        <v>EQTL3F</v>
      </c>
      <c r="C81" s="15" t="s">
        <v>298</v>
      </c>
      <c r="D81" s="15" t="s">
        <v>299</v>
      </c>
    </row>
    <row r="82" spans="1:4">
      <c r="A82" s="15" t="s">
        <v>745</v>
      </c>
      <c r="B82" s="15" t="str">
        <f t="shared" si="1"/>
        <v>ESTR3F</v>
      </c>
      <c r="C82" s="15" t="s">
        <v>300</v>
      </c>
      <c r="D82" s="15" t="s">
        <v>301</v>
      </c>
    </row>
    <row r="83" spans="1:4">
      <c r="A83" s="15" t="s">
        <v>302</v>
      </c>
      <c r="B83" s="15" t="str">
        <f t="shared" si="1"/>
        <v>ETER3F</v>
      </c>
      <c r="C83" s="15" t="s">
        <v>303</v>
      </c>
      <c r="D83" s="15" t="s">
        <v>304</v>
      </c>
    </row>
    <row r="84" spans="1:4">
      <c r="A84" s="15" t="s">
        <v>746</v>
      </c>
      <c r="B84" s="15" t="str">
        <f t="shared" si="1"/>
        <v>EUCA3F</v>
      </c>
      <c r="C84" s="15" t="s">
        <v>305</v>
      </c>
      <c r="D84" s="15" t="s">
        <v>306</v>
      </c>
    </row>
    <row r="85" spans="1:4">
      <c r="A85" s="15" t="s">
        <v>307</v>
      </c>
      <c r="B85" s="15" t="str">
        <f t="shared" si="1"/>
        <v>EVEN3F</v>
      </c>
      <c r="C85" s="15" t="s">
        <v>308</v>
      </c>
      <c r="D85" s="15" t="s">
        <v>309</v>
      </c>
    </row>
    <row r="86" spans="1:4">
      <c r="A86" s="15" t="s">
        <v>310</v>
      </c>
      <c r="B86" s="15" t="str">
        <f t="shared" si="1"/>
        <v>EZTC3F</v>
      </c>
      <c r="C86" s="15" t="s">
        <v>311</v>
      </c>
      <c r="D86" s="15" t="s">
        <v>312</v>
      </c>
    </row>
    <row r="87" spans="1:4">
      <c r="A87" s="15" t="s">
        <v>747</v>
      </c>
      <c r="B87" s="15" t="str">
        <f t="shared" si="1"/>
        <v>FESA3F</v>
      </c>
      <c r="C87" s="15" t="s">
        <v>313</v>
      </c>
      <c r="D87" s="15" t="s">
        <v>314</v>
      </c>
    </row>
    <row r="88" spans="1:4">
      <c r="A88" s="15" t="s">
        <v>315</v>
      </c>
      <c r="B88" s="15" t="str">
        <f t="shared" si="1"/>
        <v>FHER3F</v>
      </c>
      <c r="C88" s="15" t="s">
        <v>316</v>
      </c>
      <c r="D88" s="15" t="s">
        <v>317</v>
      </c>
    </row>
    <row r="89" spans="1:4">
      <c r="A89" s="15" t="s">
        <v>69</v>
      </c>
      <c r="B89" s="15" t="str">
        <f t="shared" si="1"/>
        <v>FLRY3F</v>
      </c>
      <c r="C89" s="15" t="s">
        <v>318</v>
      </c>
      <c r="D89" s="15" t="s">
        <v>319</v>
      </c>
    </row>
    <row r="90" spans="1:4">
      <c r="A90" s="15" t="s">
        <v>320</v>
      </c>
      <c r="B90" s="15" t="str">
        <f t="shared" si="1"/>
        <v>FRAS3F</v>
      </c>
      <c r="C90" s="15" t="s">
        <v>321</v>
      </c>
      <c r="D90" s="15" t="s">
        <v>322</v>
      </c>
    </row>
    <row r="91" spans="1:4">
      <c r="A91" s="15" t="s">
        <v>323</v>
      </c>
      <c r="B91" s="15" t="str">
        <f t="shared" si="1"/>
        <v>FRIO3F</v>
      </c>
      <c r="C91" s="15" t="s">
        <v>324</v>
      </c>
      <c r="D91" s="15" t="s">
        <v>325</v>
      </c>
    </row>
    <row r="92" spans="1:4">
      <c r="A92" s="15" t="s">
        <v>748</v>
      </c>
      <c r="B92" s="15" t="str">
        <f t="shared" si="1"/>
        <v>GEPA3F</v>
      </c>
      <c r="C92" s="15" t="s">
        <v>326</v>
      </c>
      <c r="D92" s="15" t="s">
        <v>327</v>
      </c>
    </row>
    <row r="93" spans="1:4">
      <c r="A93" s="15" t="s">
        <v>328</v>
      </c>
      <c r="B93" s="15" t="str">
        <f t="shared" si="1"/>
        <v>GFSA3F</v>
      </c>
      <c r="C93" s="15" t="s">
        <v>329</v>
      </c>
      <c r="D93" s="15" t="s">
        <v>330</v>
      </c>
    </row>
    <row r="94" spans="1:4">
      <c r="A94" s="15" t="s">
        <v>749</v>
      </c>
      <c r="B94" s="15" t="str">
        <f t="shared" si="1"/>
        <v>GGBR3F</v>
      </c>
      <c r="C94" s="15" t="s">
        <v>331</v>
      </c>
      <c r="D94" s="15" t="s">
        <v>332</v>
      </c>
    </row>
    <row r="95" spans="1:4">
      <c r="A95" s="15" t="s">
        <v>333</v>
      </c>
      <c r="B95" s="15" t="str">
        <f t="shared" si="1"/>
        <v>GMAT3F</v>
      </c>
      <c r="C95" s="15" t="s">
        <v>334</v>
      </c>
      <c r="D95" s="15" t="s">
        <v>335</v>
      </c>
    </row>
    <row r="96" spans="1:4">
      <c r="A96" s="15" t="s">
        <v>336</v>
      </c>
      <c r="B96" s="15" t="str">
        <f t="shared" si="1"/>
        <v>GNDI3F</v>
      </c>
      <c r="C96" s="15" t="s">
        <v>337</v>
      </c>
      <c r="D96" s="15" t="s">
        <v>338</v>
      </c>
    </row>
    <row r="97" spans="1:4">
      <c r="A97" s="15" t="s">
        <v>750</v>
      </c>
      <c r="B97" s="15" t="str">
        <f t="shared" si="1"/>
        <v>GOAU3F</v>
      </c>
      <c r="C97" s="15" t="s">
        <v>339</v>
      </c>
      <c r="D97" s="15" t="s">
        <v>340</v>
      </c>
    </row>
    <row r="98" spans="1:4">
      <c r="A98" s="15" t="s">
        <v>341</v>
      </c>
      <c r="B98" s="15" t="str">
        <f t="shared" si="1"/>
        <v>GOLL4F</v>
      </c>
      <c r="C98" s="15" t="s">
        <v>342</v>
      </c>
      <c r="D98" s="15" t="s">
        <v>343</v>
      </c>
    </row>
    <row r="99" spans="1:4">
      <c r="A99" s="15" t="s">
        <v>344</v>
      </c>
      <c r="B99" s="15" t="str">
        <f t="shared" si="1"/>
        <v>GRND3F</v>
      </c>
      <c r="C99" s="15" t="s">
        <v>345</v>
      </c>
      <c r="D99" s="15" t="s">
        <v>346</v>
      </c>
    </row>
    <row r="100" spans="1:4">
      <c r="A100" s="15" t="s">
        <v>347</v>
      </c>
      <c r="B100" s="15" t="str">
        <f t="shared" si="1"/>
        <v>GSHP3F</v>
      </c>
      <c r="C100" s="15" t="s">
        <v>348</v>
      </c>
      <c r="D100" s="15" t="s">
        <v>349</v>
      </c>
    </row>
    <row r="101" spans="1:4">
      <c r="A101" s="15" t="s">
        <v>751</v>
      </c>
      <c r="B101" s="15" t="str">
        <f t="shared" si="1"/>
        <v>GUAR3F</v>
      </c>
      <c r="C101" s="15" t="s">
        <v>350</v>
      </c>
      <c r="D101" s="15" t="s">
        <v>351</v>
      </c>
    </row>
    <row r="102" spans="1:4">
      <c r="A102" s="15" t="s">
        <v>352</v>
      </c>
      <c r="B102" s="15" t="str">
        <f t="shared" si="1"/>
        <v>HAPV3F</v>
      </c>
      <c r="C102" s="15" t="s">
        <v>353</v>
      </c>
      <c r="D102" s="15" t="s">
        <v>354</v>
      </c>
    </row>
    <row r="103" spans="1:4">
      <c r="A103" s="15" t="s">
        <v>355</v>
      </c>
      <c r="B103" s="15" t="str">
        <f t="shared" si="1"/>
        <v>HBOR3F</v>
      </c>
      <c r="C103" s="15" t="s">
        <v>356</v>
      </c>
      <c r="D103" s="15" t="s">
        <v>357</v>
      </c>
    </row>
    <row r="104" spans="1:4">
      <c r="A104" s="15" t="s">
        <v>358</v>
      </c>
      <c r="B104" s="15" t="str">
        <f t="shared" si="1"/>
        <v>HBSA3F</v>
      </c>
      <c r="C104" s="15" t="s">
        <v>359</v>
      </c>
      <c r="D104" s="15" t="s">
        <v>360</v>
      </c>
    </row>
    <row r="105" spans="1:4">
      <c r="A105" s="15" t="s">
        <v>361</v>
      </c>
      <c r="B105" s="15" t="str">
        <f t="shared" si="1"/>
        <v>HGTX3F</v>
      </c>
      <c r="C105" s="15" t="s">
        <v>362</v>
      </c>
      <c r="D105" s="15" t="s">
        <v>363</v>
      </c>
    </row>
    <row r="106" spans="1:4">
      <c r="A106" s="15" t="s">
        <v>364</v>
      </c>
      <c r="B106" s="15" t="str">
        <f t="shared" si="1"/>
        <v>HYPE3F</v>
      </c>
      <c r="C106" s="15" t="s">
        <v>365</v>
      </c>
      <c r="D106" s="15" t="s">
        <v>366</v>
      </c>
    </row>
    <row r="107" spans="1:4">
      <c r="A107" s="15" t="s">
        <v>752</v>
      </c>
      <c r="B107" s="15" t="str">
        <f t="shared" si="1"/>
        <v>HOOT3F</v>
      </c>
      <c r="C107" s="15" t="s">
        <v>367</v>
      </c>
      <c r="D107" s="15" t="s">
        <v>368</v>
      </c>
    </row>
    <row r="108" spans="1:4">
      <c r="A108" s="15" t="s">
        <v>369</v>
      </c>
      <c r="B108" s="15" t="str">
        <f t="shared" si="1"/>
        <v>IDNT3F</v>
      </c>
      <c r="C108" s="15" t="s">
        <v>370</v>
      </c>
      <c r="D108" s="15" t="s">
        <v>371</v>
      </c>
    </row>
    <row r="109" spans="1:4">
      <c r="A109" s="15" t="s">
        <v>372</v>
      </c>
      <c r="B109" s="15" t="str">
        <f t="shared" si="1"/>
        <v>IGTA3F</v>
      </c>
      <c r="C109" s="15" t="s">
        <v>373</v>
      </c>
      <c r="D109" s="15" t="s">
        <v>374</v>
      </c>
    </row>
    <row r="110" spans="1:4">
      <c r="A110" s="15" t="s">
        <v>375</v>
      </c>
      <c r="B110" s="15" t="str">
        <f t="shared" si="1"/>
        <v>IRBR3F</v>
      </c>
      <c r="C110" s="15" t="s">
        <v>376</v>
      </c>
      <c r="D110" s="15" t="s">
        <v>377</v>
      </c>
    </row>
    <row r="111" spans="1:4">
      <c r="A111" s="15" t="s">
        <v>39</v>
      </c>
      <c r="B111" s="15" t="str">
        <f t="shared" si="1"/>
        <v>ITSA4F</v>
      </c>
      <c r="C111" s="15" t="s">
        <v>378</v>
      </c>
      <c r="D111" s="15" t="s">
        <v>379</v>
      </c>
    </row>
    <row r="112" spans="1:4">
      <c r="A112" s="15" t="s">
        <v>753</v>
      </c>
      <c r="B112" s="15" t="str">
        <f t="shared" si="1"/>
        <v>ITUB3F</v>
      </c>
      <c r="C112" s="15" t="s">
        <v>380</v>
      </c>
      <c r="D112" s="15" t="s">
        <v>381</v>
      </c>
    </row>
    <row r="113" spans="1:4">
      <c r="A113" s="15" t="s">
        <v>382</v>
      </c>
      <c r="B113" s="15" t="str">
        <f t="shared" si="1"/>
        <v>JBSS3F</v>
      </c>
      <c r="C113" s="15" t="s">
        <v>383</v>
      </c>
      <c r="D113" s="15" t="s">
        <v>384</v>
      </c>
    </row>
    <row r="114" spans="1:4">
      <c r="A114" s="15" t="s">
        <v>385</v>
      </c>
      <c r="B114" s="15" t="str">
        <f t="shared" si="1"/>
        <v>JHSF3F</v>
      </c>
      <c r="C114" s="15" t="s">
        <v>386</v>
      </c>
      <c r="D114" s="15" t="s">
        <v>387</v>
      </c>
    </row>
    <row r="115" spans="1:4">
      <c r="A115" s="15" t="s">
        <v>388</v>
      </c>
      <c r="B115" s="15" t="str">
        <f t="shared" si="1"/>
        <v>JSLG3F</v>
      </c>
      <c r="C115" s="15" t="s">
        <v>389</v>
      </c>
      <c r="D115" s="15" t="s">
        <v>390</v>
      </c>
    </row>
    <row r="116" spans="1:4">
      <c r="A116" s="15" t="s">
        <v>391</v>
      </c>
      <c r="B116" s="15" t="str">
        <f t="shared" si="1"/>
        <v>KEPL3F</v>
      </c>
      <c r="C116" s="15" t="s">
        <v>392</v>
      </c>
      <c r="D116" s="15" t="s">
        <v>393</v>
      </c>
    </row>
    <row r="117" spans="1:4">
      <c r="A117" s="15" t="s">
        <v>754</v>
      </c>
      <c r="B117" s="15" t="str">
        <f t="shared" si="1"/>
        <v>KLBN11F</v>
      </c>
      <c r="C117" s="15" t="s">
        <v>394</v>
      </c>
      <c r="D117" s="15" t="s">
        <v>395</v>
      </c>
    </row>
    <row r="118" spans="1:4">
      <c r="A118" s="15" t="s">
        <v>755</v>
      </c>
      <c r="B118" s="15" t="str">
        <f t="shared" si="1"/>
        <v>LAME3F</v>
      </c>
      <c r="C118" s="15" t="s">
        <v>396</v>
      </c>
      <c r="D118" s="15" t="s">
        <v>397</v>
      </c>
    </row>
    <row r="119" spans="1:4">
      <c r="A119" s="15" t="s">
        <v>398</v>
      </c>
      <c r="B119" s="15" t="str">
        <f t="shared" si="1"/>
        <v>LAVV3F</v>
      </c>
      <c r="C119" s="15" t="s">
        <v>399</v>
      </c>
      <c r="D119" s="15" t="s">
        <v>400</v>
      </c>
    </row>
    <row r="120" spans="1:4">
      <c r="A120" s="15" t="s">
        <v>401</v>
      </c>
      <c r="B120" s="15" t="str">
        <f t="shared" si="1"/>
        <v>LCAM3F</v>
      </c>
      <c r="C120" s="15" t="s">
        <v>402</v>
      </c>
      <c r="D120" s="15" t="s">
        <v>403</v>
      </c>
    </row>
    <row r="121" spans="1:4">
      <c r="A121" s="15" t="s">
        <v>404</v>
      </c>
      <c r="B121" s="15" t="str">
        <f t="shared" si="1"/>
        <v>LEVE3F</v>
      </c>
      <c r="C121" s="15" t="s">
        <v>405</v>
      </c>
      <c r="D121" s="15" t="s">
        <v>406</v>
      </c>
    </row>
    <row r="122" spans="1:4">
      <c r="A122" s="15" t="s">
        <v>407</v>
      </c>
      <c r="B122" s="15" t="str">
        <f t="shared" si="1"/>
        <v>LIGT3F</v>
      </c>
      <c r="C122" s="15" t="s">
        <v>408</v>
      </c>
      <c r="D122" s="15" t="s">
        <v>409</v>
      </c>
    </row>
    <row r="123" spans="1:4">
      <c r="A123" s="15" t="s">
        <v>410</v>
      </c>
      <c r="B123" s="15" t="str">
        <f t="shared" si="1"/>
        <v>LINX3F</v>
      </c>
      <c r="C123" s="15" t="s">
        <v>411</v>
      </c>
      <c r="D123" s="15" t="s">
        <v>412</v>
      </c>
    </row>
    <row r="124" spans="1:4">
      <c r="A124" s="15" t="s">
        <v>413</v>
      </c>
      <c r="B124" s="15" t="str">
        <f t="shared" si="1"/>
        <v>LLIS3F</v>
      </c>
      <c r="C124" s="15" t="s">
        <v>414</v>
      </c>
      <c r="D124" s="15" t="s">
        <v>415</v>
      </c>
    </row>
    <row r="125" spans="1:4">
      <c r="A125" s="15" t="s">
        <v>416</v>
      </c>
      <c r="B125" s="15" t="str">
        <f t="shared" si="1"/>
        <v>LOGG3F</v>
      </c>
      <c r="C125" s="15" t="s">
        <v>417</v>
      </c>
      <c r="D125" s="15" t="s">
        <v>418</v>
      </c>
    </row>
    <row r="126" spans="1:4">
      <c r="A126" s="15" t="s">
        <v>419</v>
      </c>
      <c r="B126" s="15" t="str">
        <f t="shared" si="1"/>
        <v>LJQQ3F</v>
      </c>
      <c r="C126" s="15" t="s">
        <v>420</v>
      </c>
      <c r="D126" s="15" t="s">
        <v>421</v>
      </c>
    </row>
    <row r="127" spans="1:4">
      <c r="A127" s="15" t="s">
        <v>422</v>
      </c>
      <c r="B127" s="15" t="str">
        <f t="shared" si="1"/>
        <v>LOGN3F</v>
      </c>
      <c r="C127" s="15" t="s">
        <v>423</v>
      </c>
      <c r="D127" s="15" t="s">
        <v>424</v>
      </c>
    </row>
    <row r="128" spans="1:4">
      <c r="A128" s="15" t="s">
        <v>425</v>
      </c>
      <c r="B128" s="15" t="str">
        <f t="shared" si="1"/>
        <v>LPSB3F</v>
      </c>
      <c r="C128" s="15" t="s">
        <v>426</v>
      </c>
      <c r="D128" s="15" t="s">
        <v>427</v>
      </c>
    </row>
    <row r="129" spans="1:4">
      <c r="A129" s="15" t="s">
        <v>428</v>
      </c>
      <c r="B129" s="15" t="str">
        <f t="shared" si="1"/>
        <v>LREN3F</v>
      </c>
      <c r="C129" s="15" t="s">
        <v>429</v>
      </c>
      <c r="D129" s="15" t="s">
        <v>430</v>
      </c>
    </row>
    <row r="130" spans="1:4">
      <c r="A130" s="15" t="s">
        <v>431</v>
      </c>
      <c r="B130" s="15" t="str">
        <f t="shared" si="1"/>
        <v>LWSA3F</v>
      </c>
      <c r="C130" s="15" t="s">
        <v>432</v>
      </c>
      <c r="D130" s="15" t="s">
        <v>433</v>
      </c>
    </row>
    <row r="131" spans="1:4">
      <c r="A131" s="15" t="s">
        <v>434</v>
      </c>
      <c r="B131" s="15" t="str">
        <f t="shared" ref="B131:B194" si="2">_xlfn.CONCAT(A131,"F")</f>
        <v>LUPA3F</v>
      </c>
      <c r="C131" s="15" t="s">
        <v>435</v>
      </c>
      <c r="D131" s="15" t="s">
        <v>436</v>
      </c>
    </row>
    <row r="132" spans="1:4">
      <c r="A132" s="15" t="s">
        <v>437</v>
      </c>
      <c r="B132" s="15" t="str">
        <f t="shared" si="2"/>
        <v>MAGG3F</v>
      </c>
      <c r="C132" s="15" t="s">
        <v>438</v>
      </c>
      <c r="D132" s="15" t="s">
        <v>439</v>
      </c>
    </row>
    <row r="133" spans="1:4">
      <c r="A133" s="15" t="s">
        <v>53</v>
      </c>
      <c r="B133" s="15" t="str">
        <f t="shared" si="2"/>
        <v>MDIA3F</v>
      </c>
      <c r="C133" s="15" t="s">
        <v>440</v>
      </c>
      <c r="D133" s="15" t="s">
        <v>441</v>
      </c>
    </row>
    <row r="134" spans="1:4">
      <c r="A134" s="15" t="s">
        <v>442</v>
      </c>
      <c r="B134" s="15" t="str">
        <f t="shared" si="2"/>
        <v>MDNE3F</v>
      </c>
      <c r="C134" s="15" t="s">
        <v>443</v>
      </c>
      <c r="D134" s="15" t="s">
        <v>444</v>
      </c>
    </row>
    <row r="135" spans="1:4">
      <c r="A135" s="15" t="s">
        <v>445</v>
      </c>
      <c r="B135" s="15" t="str">
        <f t="shared" si="2"/>
        <v>MELK3F</v>
      </c>
      <c r="C135" s="15" t="s">
        <v>446</v>
      </c>
      <c r="D135" s="15" t="s">
        <v>447</v>
      </c>
    </row>
    <row r="136" spans="1:4">
      <c r="A136" s="15" t="s">
        <v>448</v>
      </c>
      <c r="B136" s="15" t="str">
        <f t="shared" si="2"/>
        <v>MGLU3F</v>
      </c>
      <c r="C136" s="15" t="s">
        <v>449</v>
      </c>
      <c r="D136" s="15" t="s">
        <v>450</v>
      </c>
    </row>
    <row r="137" spans="1:4">
      <c r="A137" s="15" t="s">
        <v>451</v>
      </c>
      <c r="B137" s="15" t="str">
        <f t="shared" si="2"/>
        <v>MILS3F</v>
      </c>
      <c r="C137" s="15" t="s">
        <v>452</v>
      </c>
      <c r="D137" s="15" t="s">
        <v>453</v>
      </c>
    </row>
    <row r="138" spans="1:4">
      <c r="A138" s="15" t="s">
        <v>454</v>
      </c>
      <c r="B138" s="15" t="str">
        <f t="shared" si="2"/>
        <v>MTRE3F</v>
      </c>
      <c r="C138" s="15" t="s">
        <v>455</v>
      </c>
      <c r="D138" s="15" t="s">
        <v>456</v>
      </c>
    </row>
    <row r="139" spans="1:4">
      <c r="A139" s="15" t="s">
        <v>457</v>
      </c>
      <c r="B139" s="15" t="str">
        <f t="shared" si="2"/>
        <v>MMXM3F</v>
      </c>
      <c r="C139" s="15" t="s">
        <v>458</v>
      </c>
      <c r="D139" s="15" t="s">
        <v>459</v>
      </c>
    </row>
    <row r="140" spans="1:4">
      <c r="A140" s="15" t="s">
        <v>460</v>
      </c>
      <c r="B140" s="15" t="str">
        <f t="shared" si="2"/>
        <v>MNDL3F</v>
      </c>
      <c r="C140" s="15" t="s">
        <v>461</v>
      </c>
      <c r="D140" s="15" t="s">
        <v>462</v>
      </c>
    </row>
    <row r="141" spans="1:4">
      <c r="A141" s="15" t="s">
        <v>463</v>
      </c>
      <c r="B141" s="15" t="str">
        <f t="shared" si="2"/>
        <v>MOVI3F</v>
      </c>
      <c r="C141" s="15" t="s">
        <v>464</v>
      </c>
      <c r="D141" s="15" t="s">
        <v>465</v>
      </c>
    </row>
    <row r="142" spans="1:4">
      <c r="A142" s="15" t="s">
        <v>466</v>
      </c>
      <c r="B142" s="15" t="str">
        <f t="shared" si="2"/>
        <v>MPLU3F</v>
      </c>
      <c r="C142" s="15" t="s">
        <v>467</v>
      </c>
      <c r="D142" s="15" t="s">
        <v>468</v>
      </c>
    </row>
    <row r="143" spans="1:4">
      <c r="A143" s="15" t="s">
        <v>469</v>
      </c>
      <c r="B143" s="15" t="str">
        <f t="shared" si="2"/>
        <v>MRFG3F</v>
      </c>
      <c r="C143" s="15" t="s">
        <v>470</v>
      </c>
      <c r="D143" s="15" t="s">
        <v>471</v>
      </c>
    </row>
    <row r="144" spans="1:4">
      <c r="A144" s="15" t="s">
        <v>472</v>
      </c>
      <c r="B144" s="15" t="str">
        <f t="shared" si="2"/>
        <v>MRVE3F</v>
      </c>
      <c r="C144" s="15" t="s">
        <v>473</v>
      </c>
      <c r="D144" s="15" t="s">
        <v>474</v>
      </c>
    </row>
    <row r="145" spans="1:4">
      <c r="A145" s="15" t="s">
        <v>454</v>
      </c>
      <c r="B145" s="15" t="str">
        <f t="shared" si="2"/>
        <v>MTRE3F</v>
      </c>
      <c r="C145" s="15" t="s">
        <v>475</v>
      </c>
      <c r="D145" s="15" t="s">
        <v>456</v>
      </c>
    </row>
    <row r="146" spans="1:4">
      <c r="A146" s="15" t="s">
        <v>476</v>
      </c>
      <c r="B146" s="15" t="str">
        <f t="shared" si="2"/>
        <v>MULT3F</v>
      </c>
      <c r="C146" s="15" t="s">
        <v>477</v>
      </c>
      <c r="D146" s="15" t="s">
        <v>478</v>
      </c>
    </row>
    <row r="147" spans="1:4">
      <c r="A147" s="15" t="s">
        <v>479</v>
      </c>
      <c r="B147" s="15" t="str">
        <f t="shared" si="2"/>
        <v>MYPK3F</v>
      </c>
      <c r="C147" s="15" t="s">
        <v>480</v>
      </c>
      <c r="D147" s="15" t="s">
        <v>481</v>
      </c>
    </row>
    <row r="148" spans="1:4">
      <c r="A148" s="15" t="s">
        <v>756</v>
      </c>
      <c r="B148" s="15" t="str">
        <f t="shared" si="2"/>
        <v>NAFG3F</v>
      </c>
      <c r="C148" s="15" t="s">
        <v>482</v>
      </c>
      <c r="D148" s="15" t="s">
        <v>483</v>
      </c>
    </row>
    <row r="149" spans="1:4">
      <c r="A149" s="15" t="s">
        <v>484</v>
      </c>
      <c r="B149" s="15" t="str">
        <f t="shared" si="2"/>
        <v>NEOE3F</v>
      </c>
      <c r="C149" s="15" t="s">
        <v>485</v>
      </c>
      <c r="D149" s="15" t="s">
        <v>486</v>
      </c>
    </row>
    <row r="150" spans="1:4">
      <c r="A150" s="15" t="s">
        <v>487</v>
      </c>
      <c r="B150" s="15" t="str">
        <f t="shared" si="2"/>
        <v>NGRD3F</v>
      </c>
      <c r="C150" s="15" t="s">
        <v>488</v>
      </c>
      <c r="D150" s="15" t="s">
        <v>489</v>
      </c>
    </row>
    <row r="151" spans="1:4">
      <c r="A151" s="15" t="s">
        <v>490</v>
      </c>
      <c r="B151" s="15" t="str">
        <f t="shared" si="2"/>
        <v>NTCO3F</v>
      </c>
      <c r="C151" s="15" t="s">
        <v>491</v>
      </c>
      <c r="D151" s="15" t="s">
        <v>492</v>
      </c>
    </row>
    <row r="152" spans="1:4">
      <c r="A152" s="15" t="s">
        <v>493</v>
      </c>
      <c r="B152" s="15" t="str">
        <f t="shared" si="2"/>
        <v>ODPV3F</v>
      </c>
      <c r="C152" s="15" t="s">
        <v>494</v>
      </c>
      <c r="D152" s="15" t="s">
        <v>495</v>
      </c>
    </row>
    <row r="153" spans="1:4">
      <c r="A153" s="15" t="s">
        <v>496</v>
      </c>
      <c r="B153" s="15" t="str">
        <f t="shared" si="2"/>
        <v>OFSA3F</v>
      </c>
      <c r="C153" s="15" t="s">
        <v>497</v>
      </c>
      <c r="D153" s="15" t="s">
        <v>498</v>
      </c>
    </row>
    <row r="154" spans="1:4">
      <c r="A154" s="15" t="s">
        <v>34</v>
      </c>
      <c r="B154" s="15" t="str">
        <f t="shared" si="2"/>
        <v>OIBR3F</v>
      </c>
      <c r="C154" s="15" t="s">
        <v>499</v>
      </c>
      <c r="D154" s="15" t="s">
        <v>500</v>
      </c>
    </row>
    <row r="155" spans="1:4">
      <c r="A155" s="15" t="s">
        <v>501</v>
      </c>
      <c r="B155" s="15" t="str">
        <f t="shared" si="2"/>
        <v>OSXB3F</v>
      </c>
      <c r="C155" s="15" t="s">
        <v>502</v>
      </c>
      <c r="D155" s="15" t="s">
        <v>503</v>
      </c>
    </row>
    <row r="156" spans="1:4">
      <c r="A156" s="15" t="s">
        <v>504</v>
      </c>
      <c r="B156" s="15" t="str">
        <f t="shared" si="2"/>
        <v>PARD3F</v>
      </c>
      <c r="C156" s="15" t="s">
        <v>505</v>
      </c>
      <c r="D156" s="15" t="s">
        <v>506</v>
      </c>
    </row>
    <row r="157" spans="1:4">
      <c r="A157" s="15" t="s">
        <v>757</v>
      </c>
      <c r="B157" s="15" t="str">
        <f t="shared" si="2"/>
        <v>PCAR3F</v>
      </c>
      <c r="C157" s="15" t="s">
        <v>507</v>
      </c>
      <c r="D157" s="15" t="s">
        <v>508</v>
      </c>
    </row>
    <row r="158" spans="1:4">
      <c r="A158" s="15" t="s">
        <v>509</v>
      </c>
      <c r="B158" s="15" t="str">
        <f t="shared" si="2"/>
        <v>PDGR3F</v>
      </c>
      <c r="C158" s="15" t="s">
        <v>510</v>
      </c>
      <c r="D158" s="15" t="s">
        <v>511</v>
      </c>
    </row>
    <row r="159" spans="1:4">
      <c r="A159" s="15" t="s">
        <v>43</v>
      </c>
      <c r="B159" s="15" t="str">
        <f t="shared" si="2"/>
        <v>PETR4F</v>
      </c>
      <c r="C159" s="15" t="s">
        <v>512</v>
      </c>
      <c r="D159" s="15" t="s">
        <v>513</v>
      </c>
    </row>
    <row r="160" spans="1:4">
      <c r="A160" s="15" t="s">
        <v>514</v>
      </c>
      <c r="B160" s="15" t="str">
        <f t="shared" si="2"/>
        <v>PETZ3F</v>
      </c>
      <c r="C160" s="15" t="s">
        <v>515</v>
      </c>
      <c r="D160" s="15" t="s">
        <v>516</v>
      </c>
    </row>
    <row r="161" spans="1:4">
      <c r="A161" s="15" t="s">
        <v>517</v>
      </c>
      <c r="B161" s="15" t="str">
        <f t="shared" si="2"/>
        <v>PFRM3F</v>
      </c>
      <c r="C161" s="15" t="s">
        <v>518</v>
      </c>
      <c r="D161" s="15" t="s">
        <v>519</v>
      </c>
    </row>
    <row r="162" spans="1:4">
      <c r="A162" s="15" t="s">
        <v>520</v>
      </c>
      <c r="B162" s="15" t="str">
        <f t="shared" si="2"/>
        <v>PGMN3F</v>
      </c>
      <c r="C162" s="15" t="s">
        <v>521</v>
      </c>
      <c r="D162" s="15" t="s">
        <v>522</v>
      </c>
    </row>
    <row r="163" spans="1:4">
      <c r="A163" s="15" t="s">
        <v>758</v>
      </c>
      <c r="B163" s="15" t="str">
        <f t="shared" si="2"/>
        <v>PINE3F</v>
      </c>
      <c r="C163" s="15" t="s">
        <v>523</v>
      </c>
      <c r="D163" s="15" t="s">
        <v>524</v>
      </c>
    </row>
    <row r="164" spans="1:4">
      <c r="A164" s="15" t="s">
        <v>525</v>
      </c>
      <c r="B164" s="15" t="str">
        <f t="shared" si="2"/>
        <v>PLPL3F</v>
      </c>
      <c r="C164" s="15" t="s">
        <v>526</v>
      </c>
      <c r="D164" s="15" t="s">
        <v>527</v>
      </c>
    </row>
    <row r="165" spans="1:4">
      <c r="A165" s="15" t="s">
        <v>528</v>
      </c>
      <c r="B165" s="15" t="str">
        <f t="shared" si="2"/>
        <v>PMAM3F</v>
      </c>
      <c r="C165" s="15" t="s">
        <v>529</v>
      </c>
      <c r="D165" s="15" t="s">
        <v>530</v>
      </c>
    </row>
    <row r="166" spans="1:4">
      <c r="A166" s="15" t="s">
        <v>759</v>
      </c>
      <c r="B166" s="15" t="str">
        <f t="shared" si="2"/>
        <v>POMO3F</v>
      </c>
      <c r="C166" s="15" t="s">
        <v>531</v>
      </c>
      <c r="D166" s="15" t="s">
        <v>532</v>
      </c>
    </row>
    <row r="167" spans="1:4">
      <c r="A167" s="15" t="s">
        <v>533</v>
      </c>
      <c r="B167" s="15" t="str">
        <f t="shared" si="2"/>
        <v>POSI3F</v>
      </c>
      <c r="C167" s="15" t="s">
        <v>534</v>
      </c>
      <c r="D167" s="15" t="s">
        <v>535</v>
      </c>
    </row>
    <row r="168" spans="1:4">
      <c r="A168" s="15" t="s">
        <v>536</v>
      </c>
      <c r="B168" s="15" t="str">
        <f t="shared" si="2"/>
        <v>PRIO3F</v>
      </c>
      <c r="C168" s="15" t="s">
        <v>537</v>
      </c>
      <c r="D168" s="15" t="s">
        <v>538</v>
      </c>
    </row>
    <row r="169" spans="1:4">
      <c r="A169" s="15" t="s">
        <v>539</v>
      </c>
      <c r="B169" s="15" t="str">
        <f t="shared" si="2"/>
        <v>PRNR3F</v>
      </c>
      <c r="C169" s="15" t="s">
        <v>540</v>
      </c>
      <c r="D169" s="15" t="s">
        <v>541</v>
      </c>
    </row>
    <row r="170" spans="1:4">
      <c r="A170" s="15" t="s">
        <v>542</v>
      </c>
      <c r="B170" s="15" t="str">
        <f t="shared" si="2"/>
        <v>PSSA3F</v>
      </c>
      <c r="C170" s="15" t="s">
        <v>543</v>
      </c>
      <c r="D170" s="15" t="s">
        <v>544</v>
      </c>
    </row>
    <row r="171" spans="1:4">
      <c r="A171" s="15" t="s">
        <v>545</v>
      </c>
      <c r="B171" s="15" t="str">
        <f t="shared" si="2"/>
        <v>QUAL3F</v>
      </c>
      <c r="C171" s="15" t="s">
        <v>546</v>
      </c>
      <c r="D171" s="15" t="s">
        <v>547</v>
      </c>
    </row>
    <row r="172" spans="1:4">
      <c r="A172" s="15" t="s">
        <v>548</v>
      </c>
      <c r="B172" s="15" t="str">
        <f t="shared" si="2"/>
        <v>RADL3F</v>
      </c>
      <c r="C172" s="15" t="s">
        <v>549</v>
      </c>
      <c r="D172" s="15" t="s">
        <v>550</v>
      </c>
    </row>
    <row r="173" spans="1:4">
      <c r="A173" s="15" t="s">
        <v>551</v>
      </c>
      <c r="B173" s="15" t="str">
        <f t="shared" si="2"/>
        <v>RAIL3F</v>
      </c>
      <c r="C173" s="15" t="s">
        <v>552</v>
      </c>
      <c r="D173" s="15" t="s">
        <v>553</v>
      </c>
    </row>
    <row r="174" spans="1:4">
      <c r="A174" s="15" t="s">
        <v>760</v>
      </c>
      <c r="B174" s="15" t="str">
        <f t="shared" si="2"/>
        <v>RAPT3F</v>
      </c>
      <c r="C174" s="15" t="s">
        <v>554</v>
      </c>
      <c r="D174" s="15" t="s">
        <v>555</v>
      </c>
    </row>
    <row r="175" spans="1:4">
      <c r="A175" s="15" t="s">
        <v>761</v>
      </c>
      <c r="B175" s="15" t="str">
        <f t="shared" si="2"/>
        <v>RCSL3F</v>
      </c>
      <c r="C175" s="15" t="s">
        <v>556</v>
      </c>
      <c r="D175" s="15" t="s">
        <v>557</v>
      </c>
    </row>
    <row r="176" spans="1:4">
      <c r="A176" s="15" t="s">
        <v>558</v>
      </c>
      <c r="B176" s="15" t="str">
        <f t="shared" si="2"/>
        <v>RDOR3F</v>
      </c>
      <c r="C176" s="15" t="s">
        <v>559</v>
      </c>
      <c r="D176" s="15" t="s">
        <v>560</v>
      </c>
    </row>
    <row r="177" spans="1:4">
      <c r="A177" s="15" t="s">
        <v>561</v>
      </c>
      <c r="B177" s="15" t="str">
        <f t="shared" si="2"/>
        <v>REDE3F</v>
      </c>
      <c r="C177" s="15" t="s">
        <v>562</v>
      </c>
      <c r="D177" s="15" t="s">
        <v>563</v>
      </c>
    </row>
    <row r="178" spans="1:4">
      <c r="A178" s="15" t="s">
        <v>564</v>
      </c>
      <c r="B178" s="15" t="str">
        <f t="shared" si="2"/>
        <v>RENT3F</v>
      </c>
      <c r="C178" s="15" t="s">
        <v>565</v>
      </c>
      <c r="D178" s="15" t="s">
        <v>566</v>
      </c>
    </row>
    <row r="179" spans="1:4">
      <c r="A179" s="15" t="s">
        <v>762</v>
      </c>
      <c r="B179" s="15" t="str">
        <f t="shared" si="2"/>
        <v>RNEW11F</v>
      </c>
      <c r="C179" s="15" t="s">
        <v>567</v>
      </c>
      <c r="D179" s="15" t="s">
        <v>568</v>
      </c>
    </row>
    <row r="180" spans="1:4">
      <c r="A180" s="15" t="s">
        <v>569</v>
      </c>
      <c r="B180" s="15" t="str">
        <f t="shared" si="2"/>
        <v>ROMI3F</v>
      </c>
      <c r="C180" s="15" t="s">
        <v>570</v>
      </c>
      <c r="D180" s="15" t="s">
        <v>571</v>
      </c>
    </row>
    <row r="181" spans="1:4">
      <c r="A181" s="15" t="s">
        <v>572</v>
      </c>
      <c r="B181" s="15" t="str">
        <f t="shared" si="2"/>
        <v>RPMG3F</v>
      </c>
      <c r="C181" s="15" t="s">
        <v>573</v>
      </c>
      <c r="D181" s="15" t="s">
        <v>574</v>
      </c>
    </row>
    <row r="182" spans="1:4">
      <c r="A182" s="15" t="s">
        <v>575</v>
      </c>
      <c r="B182" s="15" t="str">
        <f t="shared" si="2"/>
        <v>RRRP3F</v>
      </c>
      <c r="C182" s="15" t="s">
        <v>576</v>
      </c>
      <c r="D182" s="15" t="s">
        <v>577</v>
      </c>
    </row>
    <row r="183" spans="1:4">
      <c r="A183" s="15" t="s">
        <v>578</v>
      </c>
      <c r="B183" s="15" t="str">
        <f t="shared" si="2"/>
        <v>RSID3F</v>
      </c>
      <c r="C183" s="15" t="s">
        <v>579</v>
      </c>
      <c r="D183" s="15" t="s">
        <v>580</v>
      </c>
    </row>
    <row r="184" spans="1:4">
      <c r="A184" s="15" t="s">
        <v>763</v>
      </c>
      <c r="B184" s="15" t="str">
        <f t="shared" si="2"/>
        <v>SANB11F</v>
      </c>
      <c r="C184" s="15" t="s">
        <v>581</v>
      </c>
      <c r="D184" s="15" t="s">
        <v>582</v>
      </c>
    </row>
    <row r="185" spans="1:4">
      <c r="A185" s="15" t="s">
        <v>764</v>
      </c>
      <c r="B185" s="15" t="str">
        <f t="shared" si="2"/>
        <v>SAPR11F</v>
      </c>
      <c r="C185" s="15" t="s">
        <v>583</v>
      </c>
      <c r="D185" s="15" t="s">
        <v>584</v>
      </c>
    </row>
    <row r="186" spans="1:4">
      <c r="A186" s="15" t="s">
        <v>585</v>
      </c>
      <c r="B186" s="15" t="str">
        <f t="shared" si="2"/>
        <v>SBSP3F</v>
      </c>
      <c r="C186" s="15" t="s">
        <v>586</v>
      </c>
      <c r="D186" s="15" t="s">
        <v>587</v>
      </c>
    </row>
    <row r="187" spans="1:4">
      <c r="A187" s="15" t="s">
        <v>588</v>
      </c>
      <c r="B187" s="15" t="str">
        <f t="shared" si="2"/>
        <v>SCAR3F</v>
      </c>
      <c r="C187" s="15" t="s">
        <v>589</v>
      </c>
      <c r="D187" s="15" t="s">
        <v>590</v>
      </c>
    </row>
    <row r="188" spans="1:4">
      <c r="A188" s="15" t="s">
        <v>591</v>
      </c>
      <c r="B188" s="15" t="str">
        <f t="shared" si="2"/>
        <v>SEDU3F</v>
      </c>
      <c r="C188" s="15" t="s">
        <v>592</v>
      </c>
      <c r="D188" s="15" t="s">
        <v>593</v>
      </c>
    </row>
    <row r="189" spans="1:4">
      <c r="A189" s="15" t="s">
        <v>594</v>
      </c>
      <c r="B189" s="15" t="str">
        <f t="shared" si="2"/>
        <v>SEER3F</v>
      </c>
      <c r="C189" s="15" t="s">
        <v>595</v>
      </c>
      <c r="D189" s="15" t="s">
        <v>596</v>
      </c>
    </row>
    <row r="190" spans="1:4">
      <c r="A190" s="15" t="s">
        <v>597</v>
      </c>
      <c r="B190" s="15" t="str">
        <f t="shared" si="2"/>
        <v>SEQL3F</v>
      </c>
      <c r="C190" s="15" t="s">
        <v>598</v>
      </c>
      <c r="D190" s="15" t="s">
        <v>599</v>
      </c>
    </row>
    <row r="191" spans="1:4">
      <c r="A191" s="15" t="s">
        <v>600</v>
      </c>
      <c r="B191" s="15" t="str">
        <f t="shared" si="2"/>
        <v>SGPS3F</v>
      </c>
      <c r="C191" s="15" t="s">
        <v>601</v>
      </c>
      <c r="D191" s="15" t="s">
        <v>602</v>
      </c>
    </row>
    <row r="192" spans="1:4">
      <c r="A192" s="15" t="s">
        <v>603</v>
      </c>
      <c r="B192" s="15" t="str">
        <f t="shared" si="2"/>
        <v>SHOW3F</v>
      </c>
      <c r="C192" s="15" t="s">
        <v>604</v>
      </c>
      <c r="D192" s="15" t="s">
        <v>605</v>
      </c>
    </row>
    <row r="193" spans="1:4">
      <c r="A193" s="15" t="s">
        <v>765</v>
      </c>
      <c r="B193" s="15" t="str">
        <f t="shared" si="2"/>
        <v>SHUL3F</v>
      </c>
      <c r="C193" s="15" t="s">
        <v>606</v>
      </c>
      <c r="D193" s="15" t="s">
        <v>607</v>
      </c>
    </row>
    <row r="194" spans="1:4">
      <c r="A194" s="15" t="s">
        <v>608</v>
      </c>
      <c r="B194" s="15" t="str">
        <f t="shared" si="2"/>
        <v>SLCE3F</v>
      </c>
      <c r="C194" s="15" t="s">
        <v>609</v>
      </c>
      <c r="D194" s="15" t="s">
        <v>610</v>
      </c>
    </row>
    <row r="195" spans="1:4">
      <c r="A195" s="15" t="s">
        <v>766</v>
      </c>
      <c r="B195" s="15" t="str">
        <f t="shared" ref="B195:B236" si="3">_xlfn.CONCAT(A195,"F")</f>
        <v>SLED3F</v>
      </c>
      <c r="C195" s="15" t="s">
        <v>611</v>
      </c>
      <c r="D195" s="15" t="s">
        <v>612</v>
      </c>
    </row>
    <row r="196" spans="1:4">
      <c r="A196" s="15" t="s">
        <v>613</v>
      </c>
      <c r="B196" s="15" t="str">
        <f t="shared" si="3"/>
        <v>SMLS3F</v>
      </c>
      <c r="C196" s="15" t="s">
        <v>614</v>
      </c>
      <c r="D196" s="15" t="s">
        <v>615</v>
      </c>
    </row>
    <row r="197" spans="1:4">
      <c r="A197" s="15" t="s">
        <v>616</v>
      </c>
      <c r="B197" s="15" t="str">
        <f t="shared" si="3"/>
        <v>SMTO3F</v>
      </c>
      <c r="C197" s="15" t="s">
        <v>617</v>
      </c>
      <c r="D197" s="15" t="s">
        <v>618</v>
      </c>
    </row>
    <row r="198" spans="1:4">
      <c r="A198" s="15" t="s">
        <v>619</v>
      </c>
      <c r="B198" s="15" t="str">
        <f t="shared" si="3"/>
        <v>SOMA3F</v>
      </c>
      <c r="C198" s="15" t="s">
        <v>620</v>
      </c>
      <c r="D198" s="15" t="s">
        <v>621</v>
      </c>
    </row>
    <row r="199" spans="1:4">
      <c r="A199" s="15" t="s">
        <v>622</v>
      </c>
      <c r="B199" s="15" t="str">
        <f t="shared" si="3"/>
        <v>SQIA3F</v>
      </c>
      <c r="C199" s="15" t="s">
        <v>623</v>
      </c>
      <c r="D199" s="15" t="s">
        <v>624</v>
      </c>
    </row>
    <row r="200" spans="1:4">
      <c r="A200" s="15" t="s">
        <v>625</v>
      </c>
      <c r="B200" s="15" t="str">
        <f t="shared" si="3"/>
        <v>SSBR3F</v>
      </c>
      <c r="C200" s="15" t="s">
        <v>626</v>
      </c>
      <c r="D200" s="15" t="s">
        <v>627</v>
      </c>
    </row>
    <row r="201" spans="1:4">
      <c r="A201" s="15" t="s">
        <v>628</v>
      </c>
      <c r="B201" s="15" t="str">
        <f t="shared" si="3"/>
        <v>STBP3F</v>
      </c>
      <c r="C201" s="15" t="s">
        <v>629</v>
      </c>
      <c r="D201" s="15" t="s">
        <v>630</v>
      </c>
    </row>
    <row r="202" spans="1:4">
      <c r="A202" s="15" t="s">
        <v>767</v>
      </c>
      <c r="B202" s="15" t="str">
        <f t="shared" si="3"/>
        <v>SULA11F</v>
      </c>
      <c r="C202" s="15" t="s">
        <v>631</v>
      </c>
      <c r="D202" s="15" t="s">
        <v>632</v>
      </c>
    </row>
    <row r="203" spans="1:4">
      <c r="A203" s="15" t="s">
        <v>633</v>
      </c>
      <c r="B203" s="15" t="str">
        <f t="shared" si="3"/>
        <v>SUZB3F</v>
      </c>
      <c r="C203" s="15" t="s">
        <v>634</v>
      </c>
      <c r="D203" s="15" t="s">
        <v>635</v>
      </c>
    </row>
    <row r="204" spans="1:4">
      <c r="A204" s="15" t="s">
        <v>768</v>
      </c>
      <c r="B204" s="15" t="str">
        <f t="shared" si="3"/>
        <v>TAEE11F</v>
      </c>
      <c r="C204" s="15" t="s">
        <v>636</v>
      </c>
      <c r="D204" s="15" t="s">
        <v>637</v>
      </c>
    </row>
    <row r="205" spans="1:4">
      <c r="A205" s="15" t="s">
        <v>769</v>
      </c>
      <c r="B205" s="15" t="str">
        <f t="shared" si="3"/>
        <v>TASA3F</v>
      </c>
      <c r="C205" s="15" t="s">
        <v>638</v>
      </c>
      <c r="D205" s="15" t="s">
        <v>639</v>
      </c>
    </row>
    <row r="206" spans="1:4">
      <c r="A206" s="15" t="s">
        <v>770</v>
      </c>
      <c r="B206" s="15" t="str">
        <f t="shared" si="3"/>
        <v>TCNO3F</v>
      </c>
      <c r="C206" s="15" t="s">
        <v>640</v>
      </c>
      <c r="D206" s="15" t="s">
        <v>641</v>
      </c>
    </row>
    <row r="207" spans="1:4">
      <c r="A207" s="15" t="s">
        <v>50</v>
      </c>
      <c r="B207" s="15" t="str">
        <f t="shared" si="3"/>
        <v>TCSA3F</v>
      </c>
      <c r="C207" s="15" t="s">
        <v>642</v>
      </c>
      <c r="D207" s="15" t="s">
        <v>643</v>
      </c>
    </row>
    <row r="208" spans="1:4">
      <c r="A208" s="15" t="s">
        <v>644</v>
      </c>
      <c r="B208" s="15" t="str">
        <f t="shared" si="3"/>
        <v>TECN3F</v>
      </c>
      <c r="C208" s="15" t="s">
        <v>645</v>
      </c>
      <c r="D208" s="15" t="s">
        <v>646</v>
      </c>
    </row>
    <row r="209" spans="1:4">
      <c r="A209" s="15" t="s">
        <v>771</v>
      </c>
      <c r="B209" s="15" t="str">
        <f t="shared" si="3"/>
        <v>TEKA3F</v>
      </c>
      <c r="C209" s="15" t="s">
        <v>647</v>
      </c>
      <c r="D209" s="15" t="s">
        <v>648</v>
      </c>
    </row>
    <row r="210" spans="1:4">
      <c r="A210" s="15" t="s">
        <v>649</v>
      </c>
      <c r="B210" s="15" t="str">
        <f t="shared" si="3"/>
        <v>TEND3F</v>
      </c>
      <c r="C210" s="15" t="s">
        <v>650</v>
      </c>
      <c r="D210" s="15" t="s">
        <v>651</v>
      </c>
    </row>
    <row r="211" spans="1:4">
      <c r="A211" s="15" t="s">
        <v>652</v>
      </c>
      <c r="B211" s="15" t="str">
        <f t="shared" si="3"/>
        <v>TGMA3F</v>
      </c>
      <c r="C211" s="15" t="s">
        <v>653</v>
      </c>
      <c r="D211" s="15" t="s">
        <v>654</v>
      </c>
    </row>
    <row r="212" spans="1:4">
      <c r="A212" s="15" t="s">
        <v>655</v>
      </c>
      <c r="B212" s="15" t="str">
        <f t="shared" si="3"/>
        <v>TESA3F</v>
      </c>
      <c r="C212" s="15" t="s">
        <v>656</v>
      </c>
      <c r="D212" s="15" t="s">
        <v>657</v>
      </c>
    </row>
    <row r="213" spans="1:4">
      <c r="A213" s="15" t="s">
        <v>658</v>
      </c>
      <c r="B213" s="15" t="str">
        <f t="shared" si="3"/>
        <v>TFCO4F</v>
      </c>
      <c r="C213" s="15" t="s">
        <v>659</v>
      </c>
      <c r="D213" s="15" t="s">
        <v>660</v>
      </c>
    </row>
    <row r="214" spans="1:4">
      <c r="A214" s="15" t="s">
        <v>772</v>
      </c>
      <c r="B214" s="15" t="str">
        <f t="shared" si="3"/>
        <v>TIET11F</v>
      </c>
      <c r="C214" s="15" t="s">
        <v>661</v>
      </c>
      <c r="D214" s="15" t="s">
        <v>662</v>
      </c>
    </row>
    <row r="215" spans="1:4">
      <c r="A215" s="15" t="s">
        <v>663</v>
      </c>
      <c r="B215" s="15" t="str">
        <f t="shared" si="3"/>
        <v>TIMP3F</v>
      </c>
      <c r="C215" s="15" t="s">
        <v>664</v>
      </c>
      <c r="D215" s="15" t="s">
        <v>665</v>
      </c>
    </row>
    <row r="216" spans="1:4">
      <c r="A216" s="15" t="s">
        <v>666</v>
      </c>
      <c r="B216" s="15" t="str">
        <f t="shared" si="3"/>
        <v>TOTS3F</v>
      </c>
      <c r="C216" s="15" t="s">
        <v>667</v>
      </c>
      <c r="D216" s="15" t="s">
        <v>668</v>
      </c>
    </row>
    <row r="217" spans="1:4">
      <c r="A217" s="15" t="s">
        <v>669</v>
      </c>
      <c r="B217" s="15" t="str">
        <f t="shared" si="3"/>
        <v>TPIS3F</v>
      </c>
      <c r="C217" s="15" t="s">
        <v>670</v>
      </c>
      <c r="D217" s="15" t="s">
        <v>671</v>
      </c>
    </row>
    <row r="218" spans="1:4">
      <c r="A218" s="15" t="s">
        <v>672</v>
      </c>
      <c r="B218" s="15" t="str">
        <f t="shared" si="3"/>
        <v>TRIS3F</v>
      </c>
      <c r="C218" s="15" t="s">
        <v>673</v>
      </c>
      <c r="D218" s="15" t="s">
        <v>674</v>
      </c>
    </row>
    <row r="219" spans="1:4">
      <c r="A219" s="15" t="s">
        <v>773</v>
      </c>
      <c r="B219" s="15" t="str">
        <f t="shared" si="3"/>
        <v>TRPL3F</v>
      </c>
      <c r="C219" s="15" t="s">
        <v>675</v>
      </c>
      <c r="D219" s="15" t="s">
        <v>676</v>
      </c>
    </row>
    <row r="220" spans="1:4">
      <c r="A220" s="15" t="s">
        <v>677</v>
      </c>
      <c r="B220" s="15" t="str">
        <f t="shared" si="3"/>
        <v>TUPY3F</v>
      </c>
      <c r="C220" s="15" t="s">
        <v>678</v>
      </c>
      <c r="D220" s="15" t="s">
        <v>679</v>
      </c>
    </row>
    <row r="221" spans="1:4">
      <c r="A221" s="15" t="s">
        <v>680</v>
      </c>
      <c r="B221" s="15" t="str">
        <f t="shared" si="3"/>
        <v>UCAS3F</v>
      </c>
      <c r="C221" s="15" t="s">
        <v>681</v>
      </c>
      <c r="D221" s="15" t="s">
        <v>682</v>
      </c>
    </row>
    <row r="222" spans="1:4">
      <c r="A222" s="15" t="s">
        <v>683</v>
      </c>
      <c r="B222" s="15" t="str">
        <f t="shared" si="3"/>
        <v>UGPA3F</v>
      </c>
      <c r="C222" s="15" t="s">
        <v>684</v>
      </c>
      <c r="D222" s="15" t="s">
        <v>685</v>
      </c>
    </row>
    <row r="223" spans="1:4">
      <c r="A223" s="15" t="s">
        <v>774</v>
      </c>
      <c r="B223" s="15" t="str">
        <f t="shared" si="3"/>
        <v>UNIP3F</v>
      </c>
      <c r="C223" s="15" t="s">
        <v>686</v>
      </c>
      <c r="D223" s="15" t="s">
        <v>687</v>
      </c>
    </row>
    <row r="224" spans="1:4">
      <c r="A224" s="15" t="s">
        <v>775</v>
      </c>
      <c r="B224" s="15" t="str">
        <f t="shared" si="3"/>
        <v>USIM3F</v>
      </c>
      <c r="C224" s="15" t="s">
        <v>688</v>
      </c>
      <c r="D224" s="15" t="s">
        <v>689</v>
      </c>
    </row>
    <row r="225" spans="1:4">
      <c r="A225" s="15" t="s">
        <v>690</v>
      </c>
      <c r="B225" s="15" t="str">
        <f t="shared" si="3"/>
        <v>VALE3F</v>
      </c>
      <c r="C225" s="15" t="s">
        <v>691</v>
      </c>
      <c r="D225" s="15" t="s">
        <v>692</v>
      </c>
    </row>
    <row r="226" spans="1:4">
      <c r="A226" s="15" t="s">
        <v>693</v>
      </c>
      <c r="B226" s="15" t="str">
        <f t="shared" si="3"/>
        <v>VAMO3F</v>
      </c>
      <c r="C226" s="15" t="s">
        <v>694</v>
      </c>
      <c r="D226" s="15" t="s">
        <v>695</v>
      </c>
    </row>
    <row r="227" spans="1:4">
      <c r="A227" s="15" t="s">
        <v>696</v>
      </c>
      <c r="B227" s="15" t="str">
        <f t="shared" si="3"/>
        <v>VIVA3F</v>
      </c>
      <c r="C227" s="15" t="s">
        <v>697</v>
      </c>
      <c r="D227" s="15" t="s">
        <v>698</v>
      </c>
    </row>
    <row r="228" spans="1:4">
      <c r="A228" s="15" t="s">
        <v>776</v>
      </c>
      <c r="B228" s="15" t="str">
        <f t="shared" si="3"/>
        <v>VIVT3F</v>
      </c>
      <c r="C228" s="15" t="s">
        <v>699</v>
      </c>
      <c r="D228" s="15" t="s">
        <v>700</v>
      </c>
    </row>
    <row r="229" spans="1:4">
      <c r="A229" s="15" t="s">
        <v>701</v>
      </c>
      <c r="B229" s="15" t="str">
        <f t="shared" si="3"/>
        <v>VLID3F</v>
      </c>
      <c r="C229" s="15" t="s">
        <v>702</v>
      </c>
      <c r="D229" s="15" t="s">
        <v>703</v>
      </c>
    </row>
    <row r="230" spans="1:4">
      <c r="A230" s="15" t="s">
        <v>704</v>
      </c>
      <c r="B230" s="15" t="str">
        <f t="shared" si="3"/>
        <v>VULC3F</v>
      </c>
      <c r="C230" s="15" t="s">
        <v>705</v>
      </c>
      <c r="D230" s="15" t="s">
        <v>706</v>
      </c>
    </row>
    <row r="231" spans="1:4">
      <c r="A231" s="15" t="s">
        <v>707</v>
      </c>
      <c r="B231" s="15" t="str">
        <f t="shared" si="3"/>
        <v>VVAR3F</v>
      </c>
      <c r="C231" s="15" t="s">
        <v>708</v>
      </c>
      <c r="D231" s="15" t="s">
        <v>709</v>
      </c>
    </row>
    <row r="232" spans="1:4">
      <c r="A232" s="15" t="s">
        <v>710</v>
      </c>
      <c r="B232" s="15" t="str">
        <f t="shared" si="3"/>
        <v>YDUQ3F</v>
      </c>
      <c r="C232" s="15" t="s">
        <v>711</v>
      </c>
      <c r="D232" s="15" t="s">
        <v>712</v>
      </c>
    </row>
    <row r="233" spans="1:4">
      <c r="A233" s="15" t="s">
        <v>713</v>
      </c>
      <c r="B233" s="15" t="str">
        <f t="shared" si="3"/>
        <v>WEGE3F</v>
      </c>
      <c r="C233" s="15" t="s">
        <v>714</v>
      </c>
      <c r="D233" s="15" t="s">
        <v>715</v>
      </c>
    </row>
    <row r="234" spans="1:4">
      <c r="A234" s="15" t="s">
        <v>777</v>
      </c>
      <c r="B234" s="15" t="str">
        <f t="shared" si="3"/>
        <v>WHRL3F</v>
      </c>
      <c r="C234" s="15" t="s">
        <v>716</v>
      </c>
      <c r="D234" s="15" t="s">
        <v>717</v>
      </c>
    </row>
    <row r="235" spans="1:4">
      <c r="A235" s="15" t="s">
        <v>718</v>
      </c>
      <c r="B235" s="15" t="str">
        <f t="shared" si="3"/>
        <v>WIZS3F</v>
      </c>
      <c r="C235" s="15" t="s">
        <v>719</v>
      </c>
      <c r="D235" s="15" t="s">
        <v>720</v>
      </c>
    </row>
    <row r="236" spans="1:4">
      <c r="A236" s="15" t="s">
        <v>721</v>
      </c>
      <c r="B236" s="15" t="str">
        <f t="shared" si="3"/>
        <v>WSON33F</v>
      </c>
      <c r="C236" s="15" t="s">
        <v>722</v>
      </c>
      <c r="D236" s="15" t="s">
        <v>723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23</vt:i4>
      </vt:variant>
    </vt:vector>
  </HeadingPairs>
  <TitlesOfParts>
    <vt:vector size="27" baseType="lpstr">
      <vt:lpstr>Principal</vt:lpstr>
      <vt:lpstr>CEI</vt:lpstr>
      <vt:lpstr>Historico</vt:lpstr>
      <vt:lpstr>CNPJ</vt:lpstr>
      <vt:lpstr>rng_cnpj_principal</vt:lpstr>
      <vt:lpstr>rng_codigo_cei</vt:lpstr>
      <vt:lpstr>rng_codigo_hist</vt:lpstr>
      <vt:lpstr>rng_codigo_principal</vt:lpstr>
      <vt:lpstr>rng_corretora_cei</vt:lpstr>
      <vt:lpstr>rng_corretora_hist</vt:lpstr>
      <vt:lpstr>rng_cv_cei</vt:lpstr>
      <vt:lpstr>rng_cv_hist</vt:lpstr>
      <vt:lpstr>rng_data_cei</vt:lpstr>
      <vt:lpstr>rng_data_hist</vt:lpstr>
      <vt:lpstr>rng_empresa_principal</vt:lpstr>
      <vt:lpstr>rng_pmedio_principal</vt:lpstr>
      <vt:lpstr>rng_preco_cei</vt:lpstr>
      <vt:lpstr>rng_preco_hist</vt:lpstr>
      <vt:lpstr>rng_qntd_cei</vt:lpstr>
      <vt:lpstr>rng_qntd_hist</vt:lpstr>
      <vt:lpstr>rng_qntd_principal</vt:lpstr>
      <vt:lpstr>rng_resumo_limpar</vt:lpstr>
      <vt:lpstr>rng_texto_principal</vt:lpstr>
      <vt:lpstr>rng_todos_codigos_principal</vt:lpstr>
      <vt:lpstr>rng_total_cei</vt:lpstr>
      <vt:lpstr>rng_total_hist</vt:lpstr>
      <vt:lpstr>rng_total_principal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Mehsen Tufaile</dc:creator>
  <cp:lastModifiedBy>Gustavo Mehsen Tufaile</cp:lastModifiedBy>
  <dcterms:created xsi:type="dcterms:W3CDTF">2021-03-04T00:27:01Z</dcterms:created>
  <dcterms:modified xsi:type="dcterms:W3CDTF">2021-03-11T02:36:18Z</dcterms:modified>
</cp:coreProperties>
</file>