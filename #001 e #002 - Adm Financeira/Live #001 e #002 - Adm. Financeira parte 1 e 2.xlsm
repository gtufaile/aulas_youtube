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uilherme\Desktop\Arquivos Lives\Live #001 e #002\"/>
    </mc:Choice>
  </mc:AlternateContent>
  <xr:revisionPtr revIDLastSave="0" documentId="13_ncr:1_{7F3D8671-3CEA-40E4-809B-B85028347560}" xr6:coauthVersionLast="45" xr6:coauthVersionMax="45" xr10:uidLastSave="{00000000-0000-0000-0000-000000000000}"/>
  <bookViews>
    <workbookView xWindow="20370" yWindow="-4785" windowWidth="29040" windowHeight="15840" xr2:uid="{A253B616-A747-413F-A1C7-DE73F780DBA5}"/>
  </bookViews>
  <sheets>
    <sheet name="Principal" sheetId="1" r:id="rId1"/>
    <sheet name="Historico" sheetId="2" r:id="rId2"/>
    <sheet name="Lista Suspensa" sheetId="4" state="hidden" r:id="rId3"/>
    <sheet name="Auxiliar" sheetId="3" r:id="rId4"/>
  </sheets>
  <definedNames>
    <definedName name="ano_analisado">Principal!$R$18</definedName>
    <definedName name="coluna_bradesco_cru">Auxiliar!$A:$A</definedName>
    <definedName name="data_extracao">Principal!$R$2</definedName>
    <definedName name="mes_analisado">Principal!$Q$18</definedName>
    <definedName name="rng_ano">Historico!$H$2:$H$1048576</definedName>
    <definedName name="rng_categoria">Historico!$D$2:$D$1048576</definedName>
    <definedName name="rng_extracao">Historico!$E$2:$E$1048576</definedName>
    <definedName name="rng_mes">Historico!$G$2:$G$1048576</definedName>
    <definedName name="rng_valor">Historico!$C$2:$C$1048576</definedName>
    <definedName name="total_meses">Principal!$D$32</definedName>
  </definedNames>
  <calcPr calcId="191029" calcMode="manual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9" i="1" l="1"/>
  <c r="C28" i="1"/>
  <c r="C27" i="1"/>
  <c r="C26" i="1"/>
  <c r="C25" i="1"/>
  <c r="C24" i="1"/>
  <c r="C23" i="1"/>
  <c r="C22" i="1"/>
  <c r="C12" i="1"/>
  <c r="C11" i="1"/>
  <c r="C10" i="1"/>
  <c r="C9" i="1"/>
  <c r="C8" i="1"/>
  <c r="C7" i="1"/>
  <c r="C6" i="1"/>
  <c r="C5" i="1"/>
  <c r="C13" i="1" l="1"/>
  <c r="D6" i="1" s="1"/>
  <c r="C30" i="1"/>
  <c r="D22" i="1" s="1"/>
  <c r="D5" i="1" l="1"/>
  <c r="D12" i="1"/>
  <c r="D8" i="1"/>
  <c r="D9" i="1"/>
  <c r="D11" i="1"/>
  <c r="D7" i="1"/>
  <c r="D10" i="1"/>
  <c r="D25" i="1"/>
  <c r="D24" i="1"/>
  <c r="D29" i="1"/>
  <c r="D28" i="1"/>
  <c r="D23" i="1"/>
  <c r="D27" i="1"/>
  <c r="D26" i="1"/>
</calcChain>
</file>

<file path=xl/sharedStrings.xml><?xml version="1.0" encoding="utf-8"?>
<sst xmlns="http://schemas.openxmlformats.org/spreadsheetml/2006/main" count="344" uniqueCount="76">
  <si>
    <t>Data</t>
  </si>
  <si>
    <t>Descricao</t>
  </si>
  <si>
    <t>Valor</t>
  </si>
  <si>
    <t>Categoria</t>
  </si>
  <si>
    <t>outros</t>
  </si>
  <si>
    <t>supermercado</t>
  </si>
  <si>
    <t>restaurante</t>
  </si>
  <si>
    <t>transporte</t>
  </si>
  <si>
    <t>lazer</t>
  </si>
  <si>
    <t>Data Extracao</t>
  </si>
  <si>
    <t>Banco</t>
  </si>
  <si>
    <t>Total</t>
  </si>
  <si>
    <t>Categorias</t>
  </si>
  <si>
    <t>Transporte</t>
  </si>
  <si>
    <t>Lazer</t>
  </si>
  <si>
    <t>Essencial</t>
  </si>
  <si>
    <t>Restaurante</t>
  </si>
  <si>
    <t>Aquisicao</t>
  </si>
  <si>
    <t>Investimentos</t>
  </si>
  <si>
    <t>Doação</t>
  </si>
  <si>
    <t>Mês</t>
  </si>
  <si>
    <t>Ano</t>
  </si>
  <si>
    <t>Mês Analisado</t>
  </si>
  <si>
    <t>Porcentagem</t>
  </si>
  <si>
    <t>Média</t>
  </si>
  <si>
    <t>Total Meses Distintos</t>
  </si>
  <si>
    <t>Supermercado</t>
  </si>
  <si>
    <t>Mercpago*Bilheteunico</t>
  </si>
  <si>
    <t>2020.02.05</t>
  </si>
  <si>
    <t>Nubank</t>
  </si>
  <si>
    <t>Drika Piercing</t>
  </si>
  <si>
    <t>Extra Jaguare</t>
  </si>
  <si>
    <t>Carrefour Express-Paul</t>
  </si>
  <si>
    <t>New Praca Bar e Lanche</t>
  </si>
  <si>
    <t>Rodrigo Guedes Almendr</t>
  </si>
  <si>
    <t>Orange Point</t>
  </si>
  <si>
    <t>99* Pop 02ago 00h37min</t>
  </si>
  <si>
    <t>Red</t>
  </si>
  <si>
    <t>Pag*Cooffeecorner</t>
  </si>
  <si>
    <t>Pop Vegan Food</t>
  </si>
  <si>
    <t>Mc Donalds Als</t>
  </si>
  <si>
    <t>Extra Posto 2725 Jagua</t>
  </si>
  <si>
    <t>Doki Doki</t>
  </si>
  <si>
    <t>Extra Brigadeiro</t>
  </si>
  <si>
    <t>Pao de Acucar Lj</t>
  </si>
  <si>
    <t>Habibs Corifeu</t>
  </si>
  <si>
    <t>Zp*Seor Barbeari</t>
  </si>
  <si>
    <t>Gt Bebidas</t>
  </si>
  <si>
    <t>Mc Donalds Pir</t>
  </si>
  <si>
    <t>Primo Canto</t>
  </si>
  <si>
    <t>Pag*Cavc</t>
  </si>
  <si>
    <t>Aaaoc</t>
  </si>
  <si>
    <t>Casa de Paes de Doces</t>
  </si>
  <si>
    <t>Filial Extra Jaguare</t>
  </si>
  <si>
    <t>99* Pop 15ago 22h26min</t>
  </si>
  <si>
    <t>Cineflix</t>
  </si>
  <si>
    <t>Dentinho S Bar</t>
  </si>
  <si>
    <t>Local Lanches</t>
  </si>
  <si>
    <t>99* Pop 20ago 19h02min</t>
  </si>
  <si>
    <t>Vinil Burger Butanta</t>
  </si>
  <si>
    <t>Ifood*Ifood</t>
  </si>
  <si>
    <t>Barakah Itaim</t>
  </si>
  <si>
    <t>99* Pop 23ago 14h23min</t>
  </si>
  <si>
    <t>Dolores</t>
  </si>
  <si>
    <t>Frederico Calefo Berta</t>
  </si>
  <si>
    <t>Mc Donalds Pdi</t>
  </si>
  <si>
    <t>Transf. BTG</t>
  </si>
  <si>
    <t>Pgto. Boleto*XYZ</t>
  </si>
  <si>
    <t>2020.04.05</t>
  </si>
  <si>
    <t>BarPinheiros</t>
  </si>
  <si>
    <t>99* Pop 05mar 00h37min</t>
  </si>
  <si>
    <t>Cinemark</t>
  </si>
  <si>
    <t>Pag*MercLibre</t>
  </si>
  <si>
    <t>99* Pop 20mar 19h02min</t>
  </si>
  <si>
    <t>99* Pop 23mar 14h23min</t>
  </si>
  <si>
    <t>Pgto.Boleto*cantomusical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</si>
</sst>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0" fillId="0" borderId="0" xfId="0" applyFont="1"/>
    <xf numFmtId="0" fontId="0" fillId="0" borderId="1" xfId="0" applyBorder="1"/>
    <xf numFmtId="164" fontId="0" fillId="0" borderId="0" xfId="0" applyNumberFormat="1"/>
    <xf numFmtId="10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Principal!$C$4</c:f>
              <c:strCache>
                <c:ptCount val="1"/>
                <c:pt idx="0">
                  <c:v>Valor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2BB-4785-8706-C782675612D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52BB-4785-8706-C782675612D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2BB-4785-8706-C782675612D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2BB-4785-8706-C782675612D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2BB-4785-8706-C782675612D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52BB-4785-8706-C782675612D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2BB-4785-8706-C782675612D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52BB-4785-8706-C782675612D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48C7DA95-B059-47C3-8AC9-AB047DB95022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2BB-4785-8706-C782675612D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8C307D-7730-488A-83B6-7E57996B5D1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2BB-4785-8706-C782675612D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6FA0F13-F6FD-4F9F-84AB-2222E706E22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2BB-4785-8706-C782675612D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A0C03B-2C2A-4AA7-B655-418F5C5C1A0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2BB-4785-8706-C782675612D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59D0B6B-807D-47DD-A6EC-651E06F8EAF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2BB-4785-8706-C782675612D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5EB68E-5614-403F-A7EE-062C489CA6A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2BB-4785-8706-C782675612D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AA76060-24A6-4D08-8387-9D419B9BD6A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2BB-4785-8706-C782675612D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0DF265D-0929-4CD1-AA00-95D4B860F30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2BB-4785-8706-C782675612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Principal!$B$5:$B$13</c:f>
              <c:strCache>
                <c:ptCount val="9"/>
                <c:pt idx="0">
                  <c:v>Transporte</c:v>
                </c:pt>
                <c:pt idx="1">
                  <c:v>Lazer</c:v>
                </c:pt>
                <c:pt idx="2">
                  <c:v>Essencial</c:v>
                </c:pt>
                <c:pt idx="3">
                  <c:v>Restaurante</c:v>
                </c:pt>
                <c:pt idx="4">
                  <c:v>Aquisicao</c:v>
                </c:pt>
                <c:pt idx="5">
                  <c:v>Supermercado</c:v>
                </c:pt>
                <c:pt idx="6">
                  <c:v>Investimentos</c:v>
                </c:pt>
                <c:pt idx="7">
                  <c:v>Doação</c:v>
                </c:pt>
                <c:pt idx="8">
                  <c:v>Total</c:v>
                </c:pt>
              </c:strCache>
            </c:strRef>
          </c:cat>
          <c:val>
            <c:numRef>
              <c:f>Principal!$C$5:$C$12</c:f>
              <c:numCache>
                <c:formatCode>"R$"\ #,##0.00</c:formatCode>
                <c:ptCount val="8"/>
                <c:pt idx="0">
                  <c:v>115.41999999999999</c:v>
                </c:pt>
                <c:pt idx="1">
                  <c:v>108</c:v>
                </c:pt>
                <c:pt idx="2">
                  <c:v>177.95000000000002</c:v>
                </c:pt>
                <c:pt idx="3">
                  <c:v>128.19999999999999</c:v>
                </c:pt>
                <c:pt idx="4">
                  <c:v>84.5</c:v>
                </c:pt>
                <c:pt idx="5">
                  <c:v>0</c:v>
                </c:pt>
                <c:pt idx="6">
                  <c:v>565</c:v>
                </c:pt>
                <c:pt idx="7">
                  <c:v>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Principal!$D$5:$D$12</c15:f>
                <c15:dlblRangeCache>
                  <c:ptCount val="8"/>
                  <c:pt idx="0">
                    <c:v>9,39%</c:v>
                  </c:pt>
                  <c:pt idx="1">
                    <c:v>8,79%</c:v>
                  </c:pt>
                  <c:pt idx="2">
                    <c:v>14,48%</c:v>
                  </c:pt>
                  <c:pt idx="3">
                    <c:v>10,43%</c:v>
                  </c:pt>
                  <c:pt idx="4">
                    <c:v>6,88%</c:v>
                  </c:pt>
                  <c:pt idx="5">
                    <c:v>0,00%</c:v>
                  </c:pt>
                  <c:pt idx="6">
                    <c:v>45,97%</c:v>
                  </c:pt>
                  <c:pt idx="7">
                    <c:v>4,07%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2BB-4785-8706-C78267561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48178432"/>
        <c:axId val="648176464"/>
      </c:barChart>
      <c:catAx>
        <c:axId val="6481784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8176464"/>
        <c:crosses val="autoZero"/>
        <c:auto val="1"/>
        <c:lblAlgn val="ctr"/>
        <c:lblOffset val="100"/>
        <c:noMultiLvlLbl val="0"/>
      </c:catAx>
      <c:valAx>
        <c:axId val="648176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817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Principal!$C$21</c:f>
              <c:strCache>
                <c:ptCount val="1"/>
                <c:pt idx="0">
                  <c:v>Valor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CE7-4C3A-8BA4-2E5835232F4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CE7-4C3A-8BA4-2E5835232F4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CE7-4C3A-8BA4-2E5835232F41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CE7-4C3A-8BA4-2E5835232F4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CE7-4C3A-8BA4-2E5835232F4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CE7-4C3A-8BA4-2E5835232F41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CE7-4C3A-8BA4-2E5835232F4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CE7-4C3A-8BA4-2E5835232F4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44F20C12-2CCF-42AB-A3D0-975BF7802533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CE7-4C3A-8BA4-2E5835232F4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A2F72A-6AFC-415A-8348-D39FD365320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CE7-4C3A-8BA4-2E5835232F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475218-214F-4DA0-92DC-9E9185A4F667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CE7-4C3A-8BA4-2E5835232F4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A56E60-23A2-4D88-88E9-14F23B48D90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CE7-4C3A-8BA4-2E5835232F4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ABCF439-1800-4DCA-938A-E668F407E85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CE7-4C3A-8BA4-2E5835232F4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6615F63-045E-42B8-8E57-B9547D7E47B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CE7-4C3A-8BA4-2E5835232F4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9B4D926-913D-481D-9349-B0F6BD69C18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CE7-4C3A-8BA4-2E5835232F4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055B360-C779-4B35-BACA-43FC310E83D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CE7-4C3A-8BA4-2E5835232F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Principal!$B$22:$B$30</c:f>
              <c:strCache>
                <c:ptCount val="9"/>
                <c:pt idx="0">
                  <c:v>Transporte</c:v>
                </c:pt>
                <c:pt idx="1">
                  <c:v>Lazer</c:v>
                </c:pt>
                <c:pt idx="2">
                  <c:v>Essencial</c:v>
                </c:pt>
                <c:pt idx="3">
                  <c:v>Restaurante</c:v>
                </c:pt>
                <c:pt idx="4">
                  <c:v>Aquisicao</c:v>
                </c:pt>
                <c:pt idx="5">
                  <c:v>Supermercado</c:v>
                </c:pt>
                <c:pt idx="6">
                  <c:v>Investimentos</c:v>
                </c:pt>
                <c:pt idx="7">
                  <c:v>Doação</c:v>
                </c:pt>
                <c:pt idx="8">
                  <c:v>Total</c:v>
                </c:pt>
              </c:strCache>
            </c:strRef>
          </c:cat>
          <c:val>
            <c:numRef>
              <c:f>Principal!$C$22:$C$29</c:f>
              <c:numCache>
                <c:formatCode>"$"\ #.##000</c:formatCode>
                <c:ptCount val="8"/>
                <c:pt idx="0">
                  <c:v>141.29000000000002</c:v>
                </c:pt>
                <c:pt idx="1">
                  <c:v>133.66499999999999</c:v>
                </c:pt>
                <c:pt idx="2">
                  <c:v>205.33499999999998</c:v>
                </c:pt>
                <c:pt idx="3">
                  <c:v>297.24999999999994</c:v>
                </c:pt>
                <c:pt idx="4">
                  <c:v>191.75</c:v>
                </c:pt>
                <c:pt idx="5">
                  <c:v>7.78</c:v>
                </c:pt>
                <c:pt idx="6">
                  <c:v>530</c:v>
                </c:pt>
                <c:pt idx="7">
                  <c:v>40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Principal!$D$22:$D$29</c15:f>
                <c15:dlblRangeCache>
                  <c:ptCount val="8"/>
                  <c:pt idx="0">
                    <c:v>9.13%</c:v>
                  </c:pt>
                  <c:pt idx="1">
                    <c:v>8.64%</c:v>
                  </c:pt>
                  <c:pt idx="2">
                    <c:v>13.27%</c:v>
                  </c:pt>
                  <c:pt idx="3">
                    <c:v>19.21%</c:v>
                  </c:pt>
                  <c:pt idx="4">
                    <c:v>12.39%</c:v>
                  </c:pt>
                  <c:pt idx="5">
                    <c:v>0.50%</c:v>
                  </c:pt>
                  <c:pt idx="6">
                    <c:v>34.26%</c:v>
                  </c:pt>
                  <c:pt idx="7">
                    <c:v>2.59%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0-FCE7-4C3A-8BA4-2E5835232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648178432"/>
        <c:axId val="648176464"/>
      </c:barChart>
      <c:catAx>
        <c:axId val="6481784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8176464"/>
        <c:crosses val="autoZero"/>
        <c:auto val="1"/>
        <c:lblAlgn val="ctr"/>
        <c:lblOffset val="100"/>
        <c:noMultiLvlLbl val="0"/>
      </c:catAx>
      <c:valAx>
        <c:axId val="648176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817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485775</xdr:colOff>
          <xdr:row>2</xdr:row>
          <xdr:rowOff>161925</xdr:rowOff>
        </xdr:from>
        <xdr:to>
          <xdr:col>18</xdr:col>
          <xdr:colOff>85725</xdr:colOff>
          <xdr:row>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Extrato Nubank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476250</xdr:colOff>
          <xdr:row>7</xdr:row>
          <xdr:rowOff>28575</xdr:rowOff>
        </xdr:from>
        <xdr:to>
          <xdr:col>18</xdr:col>
          <xdr:colOff>76200</xdr:colOff>
          <xdr:row>10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Extrato Bradesco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485775</xdr:colOff>
          <xdr:row>11</xdr:row>
          <xdr:rowOff>114300</xdr:rowOff>
        </xdr:from>
        <xdr:to>
          <xdr:col>18</xdr:col>
          <xdr:colOff>85725</xdr:colOff>
          <xdr:row>15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Extrato Completo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246783</xdr:colOff>
      <xdr:row>3</xdr:row>
      <xdr:rowOff>25401</xdr:rowOff>
    </xdr:from>
    <xdr:to>
      <xdr:col>9</xdr:col>
      <xdr:colOff>438783</xdr:colOff>
      <xdr:row>27</xdr:row>
      <xdr:rowOff>133401</xdr:rowOff>
    </xdr:to>
    <xdr:graphicFrame macro="">
      <xdr:nvGraphicFramePr>
        <xdr:cNvPr id="2" name="grafico_me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362238</xdr:colOff>
      <xdr:row>0</xdr:row>
      <xdr:rowOff>54120</xdr:rowOff>
    </xdr:from>
    <xdr:to>
      <xdr:col>15</xdr:col>
      <xdr:colOff>554238</xdr:colOff>
      <xdr:row>24</xdr:row>
      <xdr:rowOff>162120</xdr:rowOff>
    </xdr:to>
    <xdr:graphicFrame macro="">
      <xdr:nvGraphicFramePr>
        <xdr:cNvPr id="6" name="grafico_media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CE025-229B-4A20-BAE9-10EC66A2F8FF}">
  <sheetPr codeName="Planilha1"/>
  <dimension ref="B2:R32"/>
  <sheetViews>
    <sheetView tabSelected="1" zoomScale="150" zoomScaleNormal="150" workbookViewId="0">
      <selection activeCell="D2" sqref="D2"/>
    </sheetView>
  </sheetViews>
  <sheetFormatPr defaultRowHeight="15" x14ac:dyDescent="0.25"/>
  <cols>
    <col min="2" max="2" width="14.7109375" customWidth="1"/>
    <col min="3" max="3" width="12.85546875" customWidth="1"/>
    <col min="4" max="4" width="12.7109375" bestFit="1" customWidth="1"/>
    <col min="18" max="18" width="19" customWidth="1"/>
  </cols>
  <sheetData>
    <row r="2" spans="2:18" x14ac:dyDescent="0.25">
      <c r="Q2" s="1" t="s">
        <v>0</v>
      </c>
      <c r="R2" s="2">
        <v>43926</v>
      </c>
    </row>
    <row r="3" spans="2:18" x14ac:dyDescent="0.25">
      <c r="B3" s="10" t="s">
        <v>22</v>
      </c>
      <c r="C3" s="10"/>
      <c r="D3" s="10"/>
    </row>
    <row r="4" spans="2:18" x14ac:dyDescent="0.25">
      <c r="B4" t="s">
        <v>3</v>
      </c>
      <c r="C4" t="s">
        <v>2</v>
      </c>
      <c r="D4" t="s">
        <v>23</v>
      </c>
    </row>
    <row r="5" spans="2:18" x14ac:dyDescent="0.25">
      <c r="B5" t="s">
        <v>13</v>
      </c>
      <c r="C5" s="8">
        <f>SUMIFS(rng_valor,rng_categoria,Principal!B5,rng_mes,mes_analisado,rng_ano,ano_analisado)</f>
        <v>115.41999999999999</v>
      </c>
      <c r="D5" s="9">
        <f>C5/$C$13</f>
        <v>9.390840228790874E-2</v>
      </c>
    </row>
    <row r="6" spans="2:18" x14ac:dyDescent="0.25">
      <c r="B6" t="s">
        <v>14</v>
      </c>
      <c r="C6" s="8">
        <f>SUMIFS(rng_valor,rng_categoria,Principal!B6,rng_mes,mes_analisado,rng_ano,ano_analisado)</f>
        <v>108</v>
      </c>
      <c r="D6" s="9">
        <f t="shared" ref="D6:D12" si="0">C6/$C$13</f>
        <v>8.7871317337499089E-2</v>
      </c>
      <c r="K6" s="6"/>
    </row>
    <row r="7" spans="2:18" x14ac:dyDescent="0.25">
      <c r="B7" t="s">
        <v>15</v>
      </c>
      <c r="C7" s="8">
        <f>SUMIFS(rng_valor,rng_categoria,Principal!B7,rng_mes,mes_analisado,rng_ano,ano_analisado)</f>
        <v>177.95000000000002</v>
      </c>
      <c r="D7" s="9">
        <f t="shared" si="0"/>
        <v>0.14478426777970338</v>
      </c>
    </row>
    <row r="8" spans="2:18" x14ac:dyDescent="0.25">
      <c r="B8" t="s">
        <v>16</v>
      </c>
      <c r="C8" s="8">
        <f>SUMIFS(rng_valor,rng_categoria,Principal!B8,rng_mes,mes_analisado,rng_ano,ano_analisado)</f>
        <v>128.19999999999999</v>
      </c>
      <c r="D8" s="9">
        <f t="shared" si="0"/>
        <v>0.10430650817284613</v>
      </c>
    </row>
    <row r="9" spans="2:18" x14ac:dyDescent="0.25">
      <c r="B9" t="s">
        <v>17</v>
      </c>
      <c r="C9" s="8">
        <f>SUMIFS(rng_valor,rng_categoria,Principal!B9,rng_mes,mes_analisado,rng_ano,ano_analisado)</f>
        <v>84.5</v>
      </c>
      <c r="D9" s="9">
        <f t="shared" si="0"/>
        <v>6.875116958350623E-2</v>
      </c>
    </row>
    <row r="10" spans="2:18" x14ac:dyDescent="0.25">
      <c r="B10" t="s">
        <v>26</v>
      </c>
      <c r="C10" s="8">
        <f>SUMIFS(rng_valor,rng_categoria,Principal!B10,rng_mes,mes_analisado,rng_ano,ano_analisado)</f>
        <v>0</v>
      </c>
      <c r="D10" s="9">
        <f t="shared" si="0"/>
        <v>0</v>
      </c>
      <c r="F10" s="5"/>
    </row>
    <row r="11" spans="2:18" x14ac:dyDescent="0.25">
      <c r="B11" t="s">
        <v>18</v>
      </c>
      <c r="C11" s="8">
        <f>SUMIFS(rng_valor,rng_categoria,Principal!B11,rng_mes,mes_analisado,rng_ano,ano_analisado)</f>
        <v>565</v>
      </c>
      <c r="D11" s="9">
        <f t="shared" si="0"/>
        <v>0.45969716940450911</v>
      </c>
    </row>
    <row r="12" spans="2:18" x14ac:dyDescent="0.25">
      <c r="B12" t="s">
        <v>19</v>
      </c>
      <c r="C12" s="8">
        <f>SUMIFS(rng_valor,rng_categoria,Principal!B12,rng_mes,mes_analisado,rng_ano,ano_analisado)</f>
        <v>50</v>
      </c>
      <c r="D12" s="9">
        <f t="shared" si="0"/>
        <v>4.0681165434027354E-2</v>
      </c>
    </row>
    <row r="13" spans="2:18" x14ac:dyDescent="0.25">
      <c r="B13" t="s">
        <v>11</v>
      </c>
      <c r="C13" s="8">
        <f>SUM(C5:C12)</f>
        <v>1229.07</v>
      </c>
    </row>
    <row r="17" spans="2:18" x14ac:dyDescent="0.25">
      <c r="Q17" s="7" t="s">
        <v>20</v>
      </c>
      <c r="R17" s="7" t="s">
        <v>21</v>
      </c>
    </row>
    <row r="18" spans="2:18" x14ac:dyDescent="0.25">
      <c r="Q18" s="7">
        <v>3</v>
      </c>
      <c r="R18" s="7">
        <v>2020</v>
      </c>
    </row>
    <row r="20" spans="2:18" x14ac:dyDescent="0.25">
      <c r="B20" s="10" t="s">
        <v>24</v>
      </c>
      <c r="C20" s="10"/>
      <c r="D20" s="10"/>
    </row>
    <row r="21" spans="2:18" x14ac:dyDescent="0.25">
      <c r="B21" t="s">
        <v>3</v>
      </c>
      <c r="C21" t="s">
        <v>2</v>
      </c>
      <c r="D21" t="s">
        <v>23</v>
      </c>
    </row>
    <row r="22" spans="2:18" x14ac:dyDescent="0.25">
      <c r="B22" t="s">
        <v>13</v>
      </c>
      <c r="C22" s="8">
        <f t="shared" ref="C22:C29" si="1">SUMIF(rng_categoria,B22,rng_valor)/total_meses</f>
        <v>141.29000000000002</v>
      </c>
      <c r="D22" s="9">
        <f>C22/$C$30</f>
        <v>9.132747710187647E-2</v>
      </c>
    </row>
    <row r="23" spans="2:18" x14ac:dyDescent="0.25">
      <c r="B23" t="s">
        <v>14</v>
      </c>
      <c r="C23" s="8">
        <f t="shared" si="1"/>
        <v>133.66499999999999</v>
      </c>
      <c r="D23" s="9">
        <f t="shared" ref="D23:D29" si="2">C23/$C$30</f>
        <v>8.6398805483914751E-2</v>
      </c>
    </row>
    <row r="24" spans="2:18" x14ac:dyDescent="0.25">
      <c r="B24" t="s">
        <v>15</v>
      </c>
      <c r="C24" s="8">
        <f t="shared" si="1"/>
        <v>205.33499999999998</v>
      </c>
      <c r="D24" s="9">
        <f t="shared" si="2"/>
        <v>0.13272508677693962</v>
      </c>
    </row>
    <row r="25" spans="2:18" x14ac:dyDescent="0.25">
      <c r="B25" t="s">
        <v>16</v>
      </c>
      <c r="C25" s="8">
        <f t="shared" si="1"/>
        <v>297.24999999999994</v>
      </c>
      <c r="D25" s="9">
        <f t="shared" si="2"/>
        <v>0.19213739520512968</v>
      </c>
    </row>
    <row r="26" spans="2:18" x14ac:dyDescent="0.25">
      <c r="B26" t="s">
        <v>17</v>
      </c>
      <c r="C26" s="8">
        <f t="shared" si="1"/>
        <v>191.75</v>
      </c>
      <c r="D26" s="9">
        <f t="shared" si="2"/>
        <v>0.12394397150743018</v>
      </c>
    </row>
    <row r="27" spans="2:18" x14ac:dyDescent="0.25">
      <c r="B27" t="s">
        <v>26</v>
      </c>
      <c r="C27" s="8">
        <f t="shared" si="1"/>
        <v>7.78</v>
      </c>
      <c r="D27" s="9">
        <f t="shared" si="2"/>
        <v>5.0288610082284578E-3</v>
      </c>
    </row>
    <row r="28" spans="2:18" x14ac:dyDescent="0.25">
      <c r="B28" t="s">
        <v>18</v>
      </c>
      <c r="C28" s="8">
        <f t="shared" si="1"/>
        <v>530</v>
      </c>
      <c r="D28" s="9">
        <f t="shared" si="2"/>
        <v>0.34258307639602603</v>
      </c>
    </row>
    <row r="29" spans="2:18" x14ac:dyDescent="0.25">
      <c r="B29" t="s">
        <v>19</v>
      </c>
      <c r="C29" s="8">
        <f t="shared" si="1"/>
        <v>40</v>
      </c>
      <c r="D29" s="9">
        <f t="shared" si="2"/>
        <v>2.5855326520454795E-2</v>
      </c>
    </row>
    <row r="30" spans="2:18" x14ac:dyDescent="0.25">
      <c r="B30" t="s">
        <v>11</v>
      </c>
      <c r="C30" s="8">
        <f>SUM(C22:C29)</f>
        <v>1547.07</v>
      </c>
    </row>
    <row r="32" spans="2:18" x14ac:dyDescent="0.25">
      <c r="B32" s="10" t="s">
        <v>25</v>
      </c>
      <c r="C32" s="10"/>
      <c r="D32">
        <v>2</v>
      </c>
    </row>
  </sheetData>
  <mergeCells count="3">
    <mergeCell ref="B3:D3"/>
    <mergeCell ref="B20:D20"/>
    <mergeCell ref="B32:C3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btem_Extrato_Nubank">
                <anchor moveWithCells="1" sizeWithCells="1">
                  <from>
                    <xdr:col>15</xdr:col>
                    <xdr:colOff>485775</xdr:colOff>
                    <xdr:row>2</xdr:row>
                    <xdr:rowOff>161925</xdr:rowOff>
                  </from>
                  <to>
                    <xdr:col>18</xdr:col>
                    <xdr:colOff>85725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btem_Extrato_Bradesco">
                <anchor moveWithCells="1" sizeWithCells="1">
                  <from>
                    <xdr:col>15</xdr:col>
                    <xdr:colOff>476250</xdr:colOff>
                    <xdr:row>7</xdr:row>
                    <xdr:rowOff>28575</xdr:rowOff>
                  </from>
                  <to>
                    <xdr:col>18</xdr:col>
                    <xdr:colOff>76200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Obtem_Todos_Extratos">
                <anchor moveWithCells="1" sizeWithCells="1">
                  <from>
                    <xdr:col>15</xdr:col>
                    <xdr:colOff>485775</xdr:colOff>
                    <xdr:row>11</xdr:row>
                    <xdr:rowOff>114300</xdr:rowOff>
                  </from>
                  <to>
                    <xdr:col>18</xdr:col>
                    <xdr:colOff>85725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4607D-F4F9-4A95-A058-6C0747FD90CE}">
  <sheetPr codeName="Planilha2"/>
  <dimension ref="A1:H121"/>
  <sheetViews>
    <sheetView zoomScale="180" zoomScaleNormal="180" workbookViewId="0">
      <selection activeCell="H2" sqref="H2:H1048576"/>
    </sheetView>
  </sheetViews>
  <sheetFormatPr defaultRowHeight="15" x14ac:dyDescent="0.25"/>
  <cols>
    <col min="1" max="1" width="16" style="4" customWidth="1"/>
    <col min="2" max="2" width="27.85546875" style="4" customWidth="1"/>
    <col min="3" max="4" width="16" style="4" customWidth="1"/>
    <col min="5" max="5" width="14.7109375" style="4" customWidth="1"/>
    <col min="6" max="6" width="10.7109375" style="4" bestFit="1" customWidth="1"/>
    <col min="7" max="7" width="12.42578125" style="4" customWidth="1"/>
    <col min="8" max="8" width="9" style="4" customWidth="1"/>
    <col min="9" max="9" width="13.85546875" style="4" bestFit="1" customWidth="1"/>
    <col min="10" max="16384" width="9.140625" style="4"/>
  </cols>
  <sheetData>
    <row r="1" spans="1: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9</v>
      </c>
      <c r="F1" s="3" t="s">
        <v>10</v>
      </c>
      <c r="G1" s="3" t="s">
        <v>20</v>
      </c>
      <c r="H1" s="3" t="s">
        <v>21</v>
      </c>
    </row>
    <row r="2" spans="1:8" x14ac:dyDescent="0.25">
      <c r="A2" s="11">
        <v>43831</v>
      </c>
      <c r="B2" t="s">
        <v>27</v>
      </c>
      <c r="C2">
        <v>10</v>
      </c>
      <c r="D2" t="s">
        <v>13</v>
      </c>
      <c r="E2" t="s">
        <v>28</v>
      </c>
      <c r="F2" t="s">
        <v>29</v>
      </c>
      <c r="G2">
        <v>1</v>
      </c>
      <c r="H2">
        <v>2020</v>
      </c>
    </row>
    <row r="3" spans="1:8" x14ac:dyDescent="0.25">
      <c r="A3" s="11">
        <v>43831</v>
      </c>
      <c r="B3" t="s">
        <v>30</v>
      </c>
      <c r="C3">
        <v>40</v>
      </c>
      <c r="D3" t="s">
        <v>14</v>
      </c>
      <c r="E3" t="s">
        <v>28</v>
      </c>
      <c r="F3" t="s">
        <v>29</v>
      </c>
      <c r="G3">
        <v>1</v>
      </c>
      <c r="H3">
        <v>2020</v>
      </c>
    </row>
    <row r="4" spans="1:8" x14ac:dyDescent="0.25">
      <c r="A4" s="11">
        <v>43831</v>
      </c>
      <c r="B4" t="s">
        <v>31</v>
      </c>
      <c r="C4">
        <v>33.090000000000003</v>
      </c>
      <c r="D4" t="s">
        <v>15</v>
      </c>
      <c r="E4" t="s">
        <v>28</v>
      </c>
      <c r="F4" t="s">
        <v>29</v>
      </c>
      <c r="G4">
        <v>1</v>
      </c>
      <c r="H4">
        <v>2020</v>
      </c>
    </row>
    <row r="5" spans="1:8" x14ac:dyDescent="0.25">
      <c r="A5" s="11">
        <v>43831</v>
      </c>
      <c r="B5" t="s">
        <v>32</v>
      </c>
      <c r="C5">
        <v>13.29</v>
      </c>
      <c r="D5" t="s">
        <v>15</v>
      </c>
      <c r="E5" t="s">
        <v>28</v>
      </c>
      <c r="F5" t="s">
        <v>29</v>
      </c>
      <c r="G5">
        <v>1</v>
      </c>
      <c r="H5">
        <v>2020</v>
      </c>
    </row>
    <row r="6" spans="1:8" x14ac:dyDescent="0.25">
      <c r="A6" s="11">
        <v>43832</v>
      </c>
      <c r="B6" t="s">
        <v>33</v>
      </c>
      <c r="C6">
        <v>50</v>
      </c>
      <c r="D6" t="s">
        <v>16</v>
      </c>
      <c r="E6" t="s">
        <v>28</v>
      </c>
      <c r="F6" t="s">
        <v>29</v>
      </c>
      <c r="G6">
        <v>1</v>
      </c>
      <c r="H6">
        <v>2020</v>
      </c>
    </row>
    <row r="7" spans="1:8" x14ac:dyDescent="0.25">
      <c r="A7" s="11">
        <v>43832</v>
      </c>
      <c r="B7" t="s">
        <v>34</v>
      </c>
      <c r="C7">
        <v>18</v>
      </c>
      <c r="D7" t="s">
        <v>14</v>
      </c>
      <c r="E7" t="s">
        <v>28</v>
      </c>
      <c r="F7" t="s">
        <v>29</v>
      </c>
      <c r="G7">
        <v>1</v>
      </c>
      <c r="H7">
        <v>2020</v>
      </c>
    </row>
    <row r="8" spans="1:8" x14ac:dyDescent="0.25">
      <c r="A8" s="11">
        <v>43833</v>
      </c>
      <c r="B8" t="s">
        <v>35</v>
      </c>
      <c r="C8">
        <v>18</v>
      </c>
      <c r="D8" t="s">
        <v>16</v>
      </c>
      <c r="E8" t="s">
        <v>28</v>
      </c>
      <c r="F8" t="s">
        <v>29</v>
      </c>
      <c r="G8">
        <v>1</v>
      </c>
      <c r="H8">
        <v>2020</v>
      </c>
    </row>
    <row r="9" spans="1:8" x14ac:dyDescent="0.25">
      <c r="A9" s="11">
        <v>43833</v>
      </c>
      <c r="B9" t="s">
        <v>36</v>
      </c>
      <c r="C9">
        <v>22.12</v>
      </c>
      <c r="D9" t="s">
        <v>13</v>
      </c>
      <c r="E9" t="s">
        <v>28</v>
      </c>
      <c r="F9" t="s">
        <v>29</v>
      </c>
      <c r="G9">
        <v>1</v>
      </c>
      <c r="H9">
        <v>2020</v>
      </c>
    </row>
    <row r="10" spans="1:8" x14ac:dyDescent="0.25">
      <c r="A10" s="11">
        <v>43836</v>
      </c>
      <c r="B10" t="s">
        <v>37</v>
      </c>
      <c r="C10">
        <v>12.8</v>
      </c>
      <c r="D10" t="s">
        <v>15</v>
      </c>
      <c r="E10" t="s">
        <v>28</v>
      </c>
      <c r="F10" t="s">
        <v>29</v>
      </c>
      <c r="G10">
        <v>1</v>
      </c>
      <c r="H10">
        <v>2020</v>
      </c>
    </row>
    <row r="11" spans="1:8" x14ac:dyDescent="0.25">
      <c r="A11" s="11">
        <v>43837</v>
      </c>
      <c r="B11" t="s">
        <v>38</v>
      </c>
      <c r="C11">
        <v>8.1</v>
      </c>
      <c r="D11" t="s">
        <v>16</v>
      </c>
      <c r="E11" t="s">
        <v>28</v>
      </c>
      <c r="F11" t="s">
        <v>29</v>
      </c>
      <c r="G11">
        <v>1</v>
      </c>
      <c r="H11">
        <v>2020</v>
      </c>
    </row>
    <row r="12" spans="1:8" x14ac:dyDescent="0.25">
      <c r="A12" s="11">
        <v>43837</v>
      </c>
      <c r="B12" t="s">
        <v>39</v>
      </c>
      <c r="C12">
        <v>15</v>
      </c>
      <c r="D12" t="s">
        <v>16</v>
      </c>
      <c r="E12" t="s">
        <v>28</v>
      </c>
      <c r="F12" t="s">
        <v>29</v>
      </c>
      <c r="G12">
        <v>1</v>
      </c>
      <c r="H12">
        <v>2020</v>
      </c>
    </row>
    <row r="13" spans="1:8" x14ac:dyDescent="0.25">
      <c r="A13" s="11">
        <v>43838</v>
      </c>
      <c r="B13" t="s">
        <v>40</v>
      </c>
      <c r="C13">
        <v>25.8</v>
      </c>
      <c r="D13" t="s">
        <v>16</v>
      </c>
      <c r="E13" t="s">
        <v>28</v>
      </c>
      <c r="F13" t="s">
        <v>29</v>
      </c>
      <c r="G13">
        <v>1</v>
      </c>
      <c r="H13">
        <v>2020</v>
      </c>
    </row>
    <row r="14" spans="1:8" x14ac:dyDescent="0.25">
      <c r="A14" s="11">
        <v>43839</v>
      </c>
      <c r="B14" t="s">
        <v>41</v>
      </c>
      <c r="C14">
        <v>48.39</v>
      </c>
      <c r="D14" t="s">
        <v>13</v>
      </c>
      <c r="E14" t="s">
        <v>28</v>
      </c>
      <c r="F14" t="s">
        <v>29</v>
      </c>
      <c r="G14">
        <v>1</v>
      </c>
      <c r="H14">
        <v>2020</v>
      </c>
    </row>
    <row r="15" spans="1:8" x14ac:dyDescent="0.25">
      <c r="A15" s="11">
        <v>43839</v>
      </c>
      <c r="B15" t="s">
        <v>42</v>
      </c>
      <c r="C15">
        <v>12.5</v>
      </c>
      <c r="D15" t="s">
        <v>16</v>
      </c>
      <c r="E15" t="s">
        <v>28</v>
      </c>
      <c r="F15" t="s">
        <v>29</v>
      </c>
      <c r="G15">
        <v>1</v>
      </c>
      <c r="H15">
        <v>2020</v>
      </c>
    </row>
    <row r="16" spans="1:8" x14ac:dyDescent="0.25">
      <c r="A16" s="11">
        <v>43839</v>
      </c>
      <c r="B16" t="s">
        <v>43</v>
      </c>
      <c r="C16">
        <v>5.9</v>
      </c>
      <c r="D16" t="s">
        <v>15</v>
      </c>
      <c r="E16" t="s">
        <v>28</v>
      </c>
      <c r="F16" t="s">
        <v>29</v>
      </c>
      <c r="G16">
        <v>1</v>
      </c>
      <c r="H16">
        <v>2020</v>
      </c>
    </row>
    <row r="17" spans="1:8" x14ac:dyDescent="0.25">
      <c r="A17" s="11">
        <v>43840</v>
      </c>
      <c r="B17" t="s">
        <v>34</v>
      </c>
      <c r="C17">
        <v>19</v>
      </c>
      <c r="D17" t="s">
        <v>14</v>
      </c>
      <c r="E17" t="s">
        <v>28</v>
      </c>
      <c r="F17" t="s">
        <v>29</v>
      </c>
      <c r="G17">
        <v>1</v>
      </c>
      <c r="H17">
        <v>2020</v>
      </c>
    </row>
    <row r="18" spans="1:8" x14ac:dyDescent="0.25">
      <c r="A18" s="11">
        <v>43840</v>
      </c>
      <c r="B18" t="s">
        <v>44</v>
      </c>
      <c r="C18">
        <v>4.78</v>
      </c>
      <c r="D18" t="s">
        <v>15</v>
      </c>
      <c r="E18" t="s">
        <v>28</v>
      </c>
      <c r="F18" t="s">
        <v>29</v>
      </c>
      <c r="G18">
        <v>1</v>
      </c>
      <c r="H18">
        <v>2020</v>
      </c>
    </row>
    <row r="19" spans="1:8" x14ac:dyDescent="0.25">
      <c r="A19" s="11">
        <v>43842</v>
      </c>
      <c r="B19" t="s">
        <v>45</v>
      </c>
      <c r="C19">
        <v>12</v>
      </c>
      <c r="D19" t="s">
        <v>16</v>
      </c>
      <c r="E19" t="s">
        <v>28</v>
      </c>
      <c r="F19" t="s">
        <v>29</v>
      </c>
      <c r="G19">
        <v>1</v>
      </c>
      <c r="H19">
        <v>2020</v>
      </c>
    </row>
    <row r="20" spans="1:8" x14ac:dyDescent="0.25">
      <c r="A20" s="11">
        <v>43842</v>
      </c>
      <c r="B20" t="s">
        <v>46</v>
      </c>
      <c r="C20">
        <v>40</v>
      </c>
      <c r="D20" t="s">
        <v>16</v>
      </c>
      <c r="E20" t="s">
        <v>28</v>
      </c>
      <c r="F20" t="s">
        <v>29</v>
      </c>
      <c r="G20">
        <v>1</v>
      </c>
      <c r="H20">
        <v>2020</v>
      </c>
    </row>
    <row r="21" spans="1:8" x14ac:dyDescent="0.25">
      <c r="A21" s="11">
        <v>43842</v>
      </c>
      <c r="B21" t="s">
        <v>47</v>
      </c>
      <c r="C21">
        <v>20</v>
      </c>
      <c r="D21" t="s">
        <v>16</v>
      </c>
      <c r="E21" t="s">
        <v>28</v>
      </c>
      <c r="F21" t="s">
        <v>29</v>
      </c>
      <c r="G21">
        <v>1</v>
      </c>
      <c r="H21">
        <v>2020</v>
      </c>
    </row>
    <row r="22" spans="1:8" x14ac:dyDescent="0.25">
      <c r="A22" s="11">
        <v>43842</v>
      </c>
      <c r="B22" t="s">
        <v>48</v>
      </c>
      <c r="C22">
        <v>9.9</v>
      </c>
      <c r="D22" t="s">
        <v>16</v>
      </c>
      <c r="E22" t="s">
        <v>28</v>
      </c>
      <c r="F22" t="s">
        <v>29</v>
      </c>
      <c r="G22">
        <v>1</v>
      </c>
      <c r="H22">
        <v>2020</v>
      </c>
    </row>
    <row r="23" spans="1:8" x14ac:dyDescent="0.25">
      <c r="A23" s="11">
        <v>43844</v>
      </c>
      <c r="B23" t="s">
        <v>49</v>
      </c>
      <c r="C23">
        <v>22.9</v>
      </c>
      <c r="D23" t="s">
        <v>16</v>
      </c>
      <c r="E23" t="s">
        <v>28</v>
      </c>
      <c r="F23" t="s">
        <v>29</v>
      </c>
      <c r="G23">
        <v>1</v>
      </c>
      <c r="H23">
        <v>2020</v>
      </c>
    </row>
    <row r="24" spans="1:8" x14ac:dyDescent="0.25">
      <c r="A24" s="11">
        <v>43844</v>
      </c>
      <c r="B24" t="s">
        <v>50</v>
      </c>
      <c r="C24">
        <v>299</v>
      </c>
      <c r="D24" t="s">
        <v>17</v>
      </c>
      <c r="E24" t="s">
        <v>28</v>
      </c>
      <c r="F24" t="s">
        <v>29</v>
      </c>
      <c r="G24">
        <v>1</v>
      </c>
      <c r="H24">
        <v>2020</v>
      </c>
    </row>
    <row r="25" spans="1:8" x14ac:dyDescent="0.25">
      <c r="A25" s="11">
        <v>43845</v>
      </c>
      <c r="B25" t="s">
        <v>51</v>
      </c>
      <c r="C25">
        <v>25</v>
      </c>
      <c r="D25" t="s">
        <v>14</v>
      </c>
      <c r="E25" t="s">
        <v>28</v>
      </c>
      <c r="F25" t="s">
        <v>29</v>
      </c>
      <c r="G25">
        <v>1</v>
      </c>
      <c r="H25">
        <v>2020</v>
      </c>
    </row>
    <row r="26" spans="1:8" x14ac:dyDescent="0.25">
      <c r="A26" s="11">
        <v>43845</v>
      </c>
      <c r="B26" t="s">
        <v>31</v>
      </c>
      <c r="C26">
        <v>17.170000000000002</v>
      </c>
      <c r="D26" t="s">
        <v>15</v>
      </c>
      <c r="E26" t="s">
        <v>28</v>
      </c>
      <c r="F26" t="s">
        <v>29</v>
      </c>
      <c r="G26">
        <v>1</v>
      </c>
      <c r="H26">
        <v>2020</v>
      </c>
    </row>
    <row r="27" spans="1:8" x14ac:dyDescent="0.25">
      <c r="A27" s="11">
        <v>43845</v>
      </c>
      <c r="B27" t="s">
        <v>52</v>
      </c>
      <c r="C27">
        <v>14.8</v>
      </c>
      <c r="D27" t="s">
        <v>16</v>
      </c>
      <c r="E27" t="s">
        <v>28</v>
      </c>
      <c r="F27" t="s">
        <v>29</v>
      </c>
      <c r="G27">
        <v>1</v>
      </c>
      <c r="H27">
        <v>2020</v>
      </c>
    </row>
    <row r="28" spans="1:8" x14ac:dyDescent="0.25">
      <c r="A28" s="11">
        <v>43847</v>
      </c>
      <c r="B28" t="s">
        <v>53</v>
      </c>
      <c r="C28">
        <v>30</v>
      </c>
      <c r="D28" t="s">
        <v>16</v>
      </c>
      <c r="E28" t="s">
        <v>28</v>
      </c>
      <c r="F28" t="s">
        <v>29</v>
      </c>
      <c r="G28">
        <v>1</v>
      </c>
      <c r="H28">
        <v>2020</v>
      </c>
    </row>
    <row r="29" spans="1:8" x14ac:dyDescent="0.25">
      <c r="A29" s="11">
        <v>43847</v>
      </c>
      <c r="B29" t="s">
        <v>31</v>
      </c>
      <c r="C29">
        <v>15.56</v>
      </c>
      <c r="D29" t="s">
        <v>5</v>
      </c>
      <c r="E29" t="s">
        <v>28</v>
      </c>
      <c r="F29" t="s">
        <v>29</v>
      </c>
      <c r="G29">
        <v>1</v>
      </c>
      <c r="H29">
        <v>2020</v>
      </c>
    </row>
    <row r="30" spans="1:8" x14ac:dyDescent="0.25">
      <c r="A30" s="11">
        <v>43847</v>
      </c>
      <c r="B30" t="s">
        <v>54</v>
      </c>
      <c r="C30">
        <v>10.7</v>
      </c>
      <c r="D30" t="s">
        <v>13</v>
      </c>
      <c r="E30" t="s">
        <v>28</v>
      </c>
      <c r="F30" t="s">
        <v>29</v>
      </c>
      <c r="G30">
        <v>1</v>
      </c>
      <c r="H30">
        <v>2020</v>
      </c>
    </row>
    <row r="31" spans="1:8" x14ac:dyDescent="0.25">
      <c r="A31" s="11">
        <v>43849</v>
      </c>
      <c r="B31" t="s">
        <v>31</v>
      </c>
      <c r="C31">
        <v>37.159999999999997</v>
      </c>
      <c r="D31" t="s">
        <v>15</v>
      </c>
      <c r="E31" t="s">
        <v>28</v>
      </c>
      <c r="F31" t="s">
        <v>29</v>
      </c>
      <c r="G31">
        <v>1</v>
      </c>
      <c r="H31">
        <v>2020</v>
      </c>
    </row>
    <row r="32" spans="1:8" x14ac:dyDescent="0.25">
      <c r="A32" s="11">
        <v>43850</v>
      </c>
      <c r="B32" t="s">
        <v>55</v>
      </c>
      <c r="C32">
        <v>24</v>
      </c>
      <c r="D32" t="s">
        <v>14</v>
      </c>
      <c r="E32" t="s">
        <v>28</v>
      </c>
      <c r="F32" t="s">
        <v>29</v>
      </c>
      <c r="G32">
        <v>1</v>
      </c>
      <c r="H32">
        <v>2020</v>
      </c>
    </row>
    <row r="33" spans="1:8" x14ac:dyDescent="0.25">
      <c r="A33" s="11">
        <v>43850</v>
      </c>
      <c r="B33" t="s">
        <v>42</v>
      </c>
      <c r="C33">
        <v>26</v>
      </c>
      <c r="D33" t="s">
        <v>16</v>
      </c>
      <c r="E33" t="s">
        <v>28</v>
      </c>
      <c r="F33" t="s">
        <v>29</v>
      </c>
      <c r="G33">
        <v>1</v>
      </c>
      <c r="H33">
        <v>2020</v>
      </c>
    </row>
    <row r="34" spans="1:8" x14ac:dyDescent="0.25">
      <c r="A34" s="11">
        <v>43850</v>
      </c>
      <c r="B34" t="s">
        <v>56</v>
      </c>
      <c r="C34">
        <v>5</v>
      </c>
      <c r="D34" t="s">
        <v>16</v>
      </c>
      <c r="E34" t="s">
        <v>28</v>
      </c>
      <c r="F34" t="s">
        <v>29</v>
      </c>
      <c r="G34">
        <v>1</v>
      </c>
      <c r="H34">
        <v>2020</v>
      </c>
    </row>
    <row r="35" spans="1:8" x14ac:dyDescent="0.25">
      <c r="A35" s="11">
        <v>43851</v>
      </c>
      <c r="B35" t="s">
        <v>41</v>
      </c>
      <c r="C35">
        <v>48.45</v>
      </c>
      <c r="D35" t="s">
        <v>13</v>
      </c>
      <c r="E35" t="s">
        <v>28</v>
      </c>
      <c r="F35" t="s">
        <v>29</v>
      </c>
      <c r="G35">
        <v>1</v>
      </c>
      <c r="H35">
        <v>2020</v>
      </c>
    </row>
    <row r="36" spans="1:8" x14ac:dyDescent="0.25">
      <c r="A36" s="11">
        <v>43851</v>
      </c>
      <c r="B36" t="s">
        <v>57</v>
      </c>
      <c r="C36">
        <v>6</v>
      </c>
      <c r="D36" t="s">
        <v>16</v>
      </c>
      <c r="E36" t="s">
        <v>28</v>
      </c>
      <c r="F36" t="s">
        <v>29</v>
      </c>
      <c r="G36">
        <v>1</v>
      </c>
      <c r="H36">
        <v>2020</v>
      </c>
    </row>
    <row r="37" spans="1:8" x14ac:dyDescent="0.25">
      <c r="A37" s="11">
        <v>43852</v>
      </c>
      <c r="B37" t="s">
        <v>58</v>
      </c>
      <c r="C37">
        <v>13.4</v>
      </c>
      <c r="D37" t="s">
        <v>13</v>
      </c>
      <c r="E37" t="s">
        <v>28</v>
      </c>
      <c r="F37" t="s">
        <v>29</v>
      </c>
      <c r="G37">
        <v>1</v>
      </c>
      <c r="H37">
        <v>2020</v>
      </c>
    </row>
    <row r="38" spans="1:8" x14ac:dyDescent="0.25">
      <c r="A38" s="11">
        <v>43852</v>
      </c>
      <c r="B38" t="s">
        <v>59</v>
      </c>
      <c r="C38">
        <v>35</v>
      </c>
      <c r="D38" t="s">
        <v>16</v>
      </c>
      <c r="E38" t="s">
        <v>28</v>
      </c>
      <c r="F38" t="s">
        <v>29</v>
      </c>
      <c r="G38">
        <v>1</v>
      </c>
      <c r="H38">
        <v>2020</v>
      </c>
    </row>
    <row r="39" spans="1:8" x14ac:dyDescent="0.25">
      <c r="A39" s="11">
        <v>43852</v>
      </c>
      <c r="B39" t="s">
        <v>60</v>
      </c>
      <c r="C39">
        <v>25</v>
      </c>
      <c r="D39" t="s">
        <v>16</v>
      </c>
      <c r="E39" t="s">
        <v>28</v>
      </c>
      <c r="F39" t="s">
        <v>29</v>
      </c>
      <c r="G39">
        <v>1</v>
      </c>
      <c r="H39">
        <v>2020</v>
      </c>
    </row>
    <row r="40" spans="1:8" x14ac:dyDescent="0.25">
      <c r="A40" s="11">
        <v>43853</v>
      </c>
      <c r="B40" t="s">
        <v>31</v>
      </c>
      <c r="C40">
        <v>38.46</v>
      </c>
      <c r="D40" t="s">
        <v>15</v>
      </c>
      <c r="E40" t="s">
        <v>28</v>
      </c>
      <c r="F40" t="s">
        <v>29</v>
      </c>
      <c r="G40">
        <v>1</v>
      </c>
      <c r="H40">
        <v>2020</v>
      </c>
    </row>
    <row r="41" spans="1:8" x14ac:dyDescent="0.25">
      <c r="A41" s="11">
        <v>43854</v>
      </c>
      <c r="B41" t="s">
        <v>61</v>
      </c>
      <c r="C41">
        <v>53.4</v>
      </c>
      <c r="D41" t="s">
        <v>16</v>
      </c>
      <c r="E41" t="s">
        <v>28</v>
      </c>
      <c r="F41" t="s">
        <v>29</v>
      </c>
      <c r="G41">
        <v>1</v>
      </c>
      <c r="H41">
        <v>2020</v>
      </c>
    </row>
    <row r="42" spans="1:8" x14ac:dyDescent="0.25">
      <c r="A42" s="11">
        <v>43854</v>
      </c>
      <c r="B42" t="s">
        <v>62</v>
      </c>
      <c r="C42">
        <v>14.1</v>
      </c>
      <c r="D42" t="s">
        <v>13</v>
      </c>
      <c r="E42" t="s">
        <v>28</v>
      </c>
      <c r="F42" t="s">
        <v>29</v>
      </c>
      <c r="G42">
        <v>1</v>
      </c>
      <c r="H42">
        <v>2020</v>
      </c>
    </row>
    <row r="43" spans="1:8" x14ac:dyDescent="0.25">
      <c r="A43" s="11">
        <v>43856</v>
      </c>
      <c r="B43" t="s">
        <v>63</v>
      </c>
      <c r="C43">
        <v>12</v>
      </c>
      <c r="D43" t="s">
        <v>14</v>
      </c>
      <c r="E43" t="s">
        <v>28</v>
      </c>
      <c r="F43" t="s">
        <v>29</v>
      </c>
      <c r="G43">
        <v>1</v>
      </c>
      <c r="H43">
        <v>2020</v>
      </c>
    </row>
    <row r="44" spans="1:8" x14ac:dyDescent="0.25">
      <c r="A44" s="11">
        <v>43856</v>
      </c>
      <c r="B44" t="s">
        <v>64</v>
      </c>
      <c r="C44">
        <v>10</v>
      </c>
      <c r="D44" t="s">
        <v>16</v>
      </c>
      <c r="E44" t="s">
        <v>28</v>
      </c>
      <c r="F44" t="s">
        <v>29</v>
      </c>
      <c r="G44">
        <v>1</v>
      </c>
      <c r="H44">
        <v>2020</v>
      </c>
    </row>
    <row r="45" spans="1:8" x14ac:dyDescent="0.25">
      <c r="A45" s="11">
        <v>43856</v>
      </c>
      <c r="B45" t="s">
        <v>65</v>
      </c>
      <c r="C45">
        <v>16.899999999999999</v>
      </c>
      <c r="D45" t="s">
        <v>16</v>
      </c>
      <c r="E45" t="s">
        <v>28</v>
      </c>
      <c r="F45" t="s">
        <v>29</v>
      </c>
      <c r="G45">
        <v>1</v>
      </c>
      <c r="H45">
        <v>2020</v>
      </c>
    </row>
    <row r="46" spans="1:8" x14ac:dyDescent="0.25">
      <c r="A46" s="11">
        <v>43857</v>
      </c>
      <c r="B46" t="s">
        <v>56</v>
      </c>
      <c r="C46">
        <v>10</v>
      </c>
      <c r="D46" t="s">
        <v>16</v>
      </c>
      <c r="E46" t="s">
        <v>28</v>
      </c>
      <c r="F46" t="s">
        <v>29</v>
      </c>
      <c r="G46">
        <v>1</v>
      </c>
      <c r="H46">
        <v>2020</v>
      </c>
    </row>
    <row r="47" spans="1:8" x14ac:dyDescent="0.25">
      <c r="A47" s="11">
        <v>43857</v>
      </c>
      <c r="B47" t="s">
        <v>31</v>
      </c>
      <c r="C47">
        <v>70.069999999999993</v>
      </c>
      <c r="D47" t="s">
        <v>15</v>
      </c>
      <c r="E47" t="s">
        <v>28</v>
      </c>
      <c r="F47" t="s">
        <v>29</v>
      </c>
      <c r="G47">
        <v>1</v>
      </c>
      <c r="H47">
        <v>2020</v>
      </c>
    </row>
    <row r="48" spans="1:8" x14ac:dyDescent="0.25">
      <c r="A48" s="11">
        <v>43858</v>
      </c>
      <c r="B48" t="s">
        <v>35</v>
      </c>
      <c r="C48">
        <v>21.33</v>
      </c>
      <c r="D48" t="s">
        <v>14</v>
      </c>
      <c r="E48" t="s">
        <v>28</v>
      </c>
      <c r="F48" t="s">
        <v>29</v>
      </c>
      <c r="G48">
        <v>1</v>
      </c>
      <c r="H48">
        <v>2020</v>
      </c>
    </row>
    <row r="49" spans="1:8" x14ac:dyDescent="0.25">
      <c r="A49" s="11">
        <v>43860</v>
      </c>
      <c r="B49" t="s">
        <v>66</v>
      </c>
      <c r="C49">
        <v>495</v>
      </c>
      <c r="D49" t="s">
        <v>18</v>
      </c>
      <c r="E49" t="s">
        <v>28</v>
      </c>
      <c r="F49" t="s">
        <v>29</v>
      </c>
      <c r="G49">
        <v>1</v>
      </c>
      <c r="H49">
        <v>2020</v>
      </c>
    </row>
    <row r="50" spans="1:8" x14ac:dyDescent="0.25">
      <c r="A50" s="11">
        <v>43860</v>
      </c>
      <c r="B50" t="s">
        <v>67</v>
      </c>
      <c r="C50">
        <v>30</v>
      </c>
      <c r="D50" t="s">
        <v>19</v>
      </c>
      <c r="E50" t="s">
        <v>28</v>
      </c>
      <c r="F50" t="s">
        <v>29</v>
      </c>
      <c r="G50">
        <v>1</v>
      </c>
      <c r="H50">
        <v>2020</v>
      </c>
    </row>
    <row r="51" spans="1:8" x14ac:dyDescent="0.25">
      <c r="A51" s="11">
        <v>43891</v>
      </c>
      <c r="B51" t="s">
        <v>27</v>
      </c>
      <c r="C51">
        <v>35</v>
      </c>
      <c r="D51" t="s">
        <v>13</v>
      </c>
      <c r="E51" t="s">
        <v>68</v>
      </c>
      <c r="F51" t="s">
        <v>29</v>
      </c>
      <c r="G51">
        <v>3</v>
      </c>
      <c r="H51">
        <v>2020</v>
      </c>
    </row>
    <row r="52" spans="1:8" x14ac:dyDescent="0.25">
      <c r="A52" s="11">
        <v>43891</v>
      </c>
      <c r="B52" t="s">
        <v>31</v>
      </c>
      <c r="C52">
        <v>22.87</v>
      </c>
      <c r="D52" t="s">
        <v>15</v>
      </c>
      <c r="E52" t="s">
        <v>68</v>
      </c>
      <c r="F52" t="s">
        <v>29</v>
      </c>
      <c r="G52">
        <v>3</v>
      </c>
      <c r="H52">
        <v>2020</v>
      </c>
    </row>
    <row r="53" spans="1:8" x14ac:dyDescent="0.25">
      <c r="A53" s="11">
        <v>43891</v>
      </c>
      <c r="B53" t="s">
        <v>32</v>
      </c>
      <c r="C53">
        <v>25.9</v>
      </c>
      <c r="D53" t="s">
        <v>15</v>
      </c>
      <c r="E53" t="s">
        <v>68</v>
      </c>
      <c r="F53" t="s">
        <v>29</v>
      </c>
      <c r="G53">
        <v>3</v>
      </c>
      <c r="H53">
        <v>2020</v>
      </c>
    </row>
    <row r="54" spans="1:8" x14ac:dyDescent="0.25">
      <c r="A54" s="11">
        <v>43892</v>
      </c>
      <c r="B54" t="s">
        <v>33</v>
      </c>
      <c r="C54">
        <v>31</v>
      </c>
      <c r="D54" t="s">
        <v>16</v>
      </c>
      <c r="E54" t="s">
        <v>68</v>
      </c>
      <c r="F54" t="s">
        <v>29</v>
      </c>
      <c r="G54">
        <v>3</v>
      </c>
      <c r="H54">
        <v>2020</v>
      </c>
    </row>
    <row r="55" spans="1:8" x14ac:dyDescent="0.25">
      <c r="A55" s="11">
        <v>43892</v>
      </c>
      <c r="B55" t="s">
        <v>69</v>
      </c>
      <c r="C55">
        <v>27</v>
      </c>
      <c r="D55" t="s">
        <v>14</v>
      </c>
      <c r="E55" t="s">
        <v>68</v>
      </c>
      <c r="F55" t="s">
        <v>29</v>
      </c>
      <c r="G55">
        <v>3</v>
      </c>
      <c r="H55">
        <v>2020</v>
      </c>
    </row>
    <row r="56" spans="1:8" x14ac:dyDescent="0.25">
      <c r="A56" s="11">
        <v>43893</v>
      </c>
      <c r="B56" t="s">
        <v>70</v>
      </c>
      <c r="C56">
        <v>27.12</v>
      </c>
      <c r="D56" t="s">
        <v>13</v>
      </c>
      <c r="E56" t="s">
        <v>68</v>
      </c>
      <c r="F56" t="s">
        <v>29</v>
      </c>
      <c r="G56">
        <v>3</v>
      </c>
      <c r="H56">
        <v>2020</v>
      </c>
    </row>
    <row r="57" spans="1:8" x14ac:dyDescent="0.25">
      <c r="A57" s="11">
        <v>43896</v>
      </c>
      <c r="B57" t="s">
        <v>37</v>
      </c>
      <c r="C57">
        <v>45</v>
      </c>
      <c r="D57" t="s">
        <v>15</v>
      </c>
      <c r="E57" t="s">
        <v>68</v>
      </c>
      <c r="F57" t="s">
        <v>29</v>
      </c>
      <c r="G57">
        <v>3</v>
      </c>
      <c r="H57">
        <v>2020</v>
      </c>
    </row>
    <row r="58" spans="1:8" x14ac:dyDescent="0.25">
      <c r="A58" s="11">
        <v>43898</v>
      </c>
      <c r="B58" t="s">
        <v>40</v>
      </c>
      <c r="C58">
        <v>25.8</v>
      </c>
      <c r="D58" t="s">
        <v>16</v>
      </c>
      <c r="E58" t="s">
        <v>68</v>
      </c>
      <c r="F58" t="s">
        <v>29</v>
      </c>
      <c r="G58">
        <v>3</v>
      </c>
      <c r="H58">
        <v>2020</v>
      </c>
    </row>
    <row r="59" spans="1:8" x14ac:dyDescent="0.25">
      <c r="A59" s="11">
        <v>43899</v>
      </c>
      <c r="B59" t="s">
        <v>42</v>
      </c>
      <c r="C59">
        <v>12.5</v>
      </c>
      <c r="D59" t="s">
        <v>16</v>
      </c>
      <c r="E59" t="s">
        <v>68</v>
      </c>
      <c r="F59" t="s">
        <v>29</v>
      </c>
      <c r="G59">
        <v>3</v>
      </c>
      <c r="H59">
        <v>2020</v>
      </c>
    </row>
    <row r="60" spans="1:8" x14ac:dyDescent="0.25">
      <c r="A60" s="11">
        <v>43899</v>
      </c>
      <c r="B60" t="s">
        <v>43</v>
      </c>
      <c r="C60">
        <v>5.9</v>
      </c>
      <c r="D60" t="s">
        <v>15</v>
      </c>
      <c r="E60" t="s">
        <v>68</v>
      </c>
      <c r="F60" t="s">
        <v>29</v>
      </c>
      <c r="G60">
        <v>3</v>
      </c>
      <c r="H60">
        <v>2020</v>
      </c>
    </row>
    <row r="61" spans="1:8" x14ac:dyDescent="0.25">
      <c r="A61" s="11">
        <v>43900</v>
      </c>
      <c r="B61" t="s">
        <v>44</v>
      </c>
      <c r="C61">
        <v>4.78</v>
      </c>
      <c r="D61" t="s">
        <v>15</v>
      </c>
      <c r="E61" t="s">
        <v>68</v>
      </c>
      <c r="F61" t="s">
        <v>29</v>
      </c>
      <c r="G61">
        <v>3</v>
      </c>
      <c r="H61">
        <v>2020</v>
      </c>
    </row>
    <row r="62" spans="1:8" x14ac:dyDescent="0.25">
      <c r="A62" s="11">
        <v>43904</v>
      </c>
      <c r="B62" t="s">
        <v>49</v>
      </c>
      <c r="C62">
        <v>22.9</v>
      </c>
      <c r="D62" t="s">
        <v>16</v>
      </c>
      <c r="E62" t="s">
        <v>68</v>
      </c>
      <c r="F62" t="s">
        <v>29</v>
      </c>
      <c r="G62">
        <v>3</v>
      </c>
      <c r="H62">
        <v>2020</v>
      </c>
    </row>
    <row r="63" spans="1:8" x14ac:dyDescent="0.25">
      <c r="A63" s="11">
        <v>43904</v>
      </c>
      <c r="B63" t="s">
        <v>50</v>
      </c>
      <c r="C63">
        <v>37.5</v>
      </c>
      <c r="D63" t="s">
        <v>17</v>
      </c>
      <c r="E63" t="s">
        <v>68</v>
      </c>
      <c r="F63" t="s">
        <v>29</v>
      </c>
      <c r="G63">
        <v>3</v>
      </c>
      <c r="H63">
        <v>2020</v>
      </c>
    </row>
    <row r="64" spans="1:8" x14ac:dyDescent="0.25">
      <c r="A64" s="11">
        <v>43905</v>
      </c>
      <c r="B64" t="s">
        <v>31</v>
      </c>
      <c r="C64">
        <v>17.170000000000002</v>
      </c>
      <c r="D64" t="s">
        <v>15</v>
      </c>
      <c r="E64" t="s">
        <v>68</v>
      </c>
      <c r="F64" t="s">
        <v>29</v>
      </c>
      <c r="G64">
        <v>3</v>
      </c>
      <c r="H64">
        <v>2020</v>
      </c>
    </row>
    <row r="65" spans="1:8" x14ac:dyDescent="0.25">
      <c r="A65" s="11">
        <v>43907</v>
      </c>
      <c r="B65" t="s">
        <v>53</v>
      </c>
      <c r="C65">
        <v>30</v>
      </c>
      <c r="D65" t="s">
        <v>16</v>
      </c>
      <c r="E65" t="s">
        <v>68</v>
      </c>
      <c r="F65" t="s">
        <v>29</v>
      </c>
      <c r="G65">
        <v>3</v>
      </c>
      <c r="H65">
        <v>2020</v>
      </c>
    </row>
    <row r="66" spans="1:8" x14ac:dyDescent="0.25">
      <c r="A66" s="11">
        <v>43907</v>
      </c>
      <c r="B66" t="s">
        <v>31</v>
      </c>
      <c r="C66">
        <v>17.87</v>
      </c>
      <c r="D66" t="s">
        <v>15</v>
      </c>
      <c r="E66" t="s">
        <v>68</v>
      </c>
      <c r="F66" t="s">
        <v>29</v>
      </c>
      <c r="G66">
        <v>3</v>
      </c>
      <c r="H66">
        <v>2020</v>
      </c>
    </row>
    <row r="67" spans="1:8" x14ac:dyDescent="0.25">
      <c r="A67" s="11">
        <v>43910</v>
      </c>
      <c r="B67" t="s">
        <v>71</v>
      </c>
      <c r="C67">
        <v>45</v>
      </c>
      <c r="D67" t="s">
        <v>14</v>
      </c>
      <c r="E67" t="s">
        <v>68</v>
      </c>
      <c r="F67" t="s">
        <v>29</v>
      </c>
      <c r="G67">
        <v>3</v>
      </c>
      <c r="H67">
        <v>2020</v>
      </c>
    </row>
    <row r="68" spans="1:8" x14ac:dyDescent="0.25">
      <c r="A68" s="11">
        <v>43910</v>
      </c>
      <c r="B68" t="s">
        <v>72</v>
      </c>
      <c r="C68">
        <v>47</v>
      </c>
      <c r="D68" t="s">
        <v>17</v>
      </c>
      <c r="E68" t="s">
        <v>68</v>
      </c>
      <c r="F68" t="s">
        <v>29</v>
      </c>
      <c r="G68">
        <v>3</v>
      </c>
      <c r="H68">
        <v>2020</v>
      </c>
    </row>
    <row r="69" spans="1:8" x14ac:dyDescent="0.25">
      <c r="A69" s="11">
        <v>43911</v>
      </c>
      <c r="B69" t="s">
        <v>41</v>
      </c>
      <c r="C69">
        <v>22.8</v>
      </c>
      <c r="D69" t="s">
        <v>13</v>
      </c>
      <c r="E69" t="s">
        <v>68</v>
      </c>
      <c r="F69" t="s">
        <v>29</v>
      </c>
      <c r="G69">
        <v>3</v>
      </c>
      <c r="H69">
        <v>2020</v>
      </c>
    </row>
    <row r="70" spans="1:8" x14ac:dyDescent="0.25">
      <c r="A70" s="11">
        <v>43911</v>
      </c>
      <c r="B70" t="s">
        <v>57</v>
      </c>
      <c r="C70">
        <v>6</v>
      </c>
      <c r="D70" t="s">
        <v>16</v>
      </c>
      <c r="E70" t="s">
        <v>68</v>
      </c>
      <c r="F70" t="s">
        <v>29</v>
      </c>
      <c r="G70">
        <v>3</v>
      </c>
      <c r="H70">
        <v>2020</v>
      </c>
    </row>
    <row r="71" spans="1:8" x14ac:dyDescent="0.25">
      <c r="A71" s="11">
        <v>43912</v>
      </c>
      <c r="B71" t="s">
        <v>73</v>
      </c>
      <c r="C71">
        <v>16.399999999999999</v>
      </c>
      <c r="D71" t="s">
        <v>13</v>
      </c>
      <c r="E71" t="s">
        <v>68</v>
      </c>
      <c r="F71" t="s">
        <v>29</v>
      </c>
      <c r="G71">
        <v>3</v>
      </c>
      <c r="H71">
        <v>2020</v>
      </c>
    </row>
    <row r="72" spans="1:8" x14ac:dyDescent="0.25">
      <c r="A72" s="11">
        <v>43913</v>
      </c>
      <c r="B72" t="s">
        <v>31</v>
      </c>
      <c r="C72">
        <v>38.46</v>
      </c>
      <c r="D72" t="s">
        <v>15</v>
      </c>
      <c r="E72" t="s">
        <v>68</v>
      </c>
      <c r="F72" t="s">
        <v>29</v>
      </c>
      <c r="G72">
        <v>3</v>
      </c>
      <c r="H72">
        <v>2020</v>
      </c>
    </row>
    <row r="73" spans="1:8" x14ac:dyDescent="0.25">
      <c r="A73" s="11">
        <v>43914</v>
      </c>
      <c r="B73" t="s">
        <v>74</v>
      </c>
      <c r="C73">
        <v>14.1</v>
      </c>
      <c r="D73" t="s">
        <v>13</v>
      </c>
      <c r="E73" t="s">
        <v>68</v>
      </c>
      <c r="F73" t="s">
        <v>29</v>
      </c>
      <c r="G73">
        <v>3</v>
      </c>
      <c r="H73">
        <v>2020</v>
      </c>
    </row>
    <row r="74" spans="1:8" x14ac:dyDescent="0.25">
      <c r="A74" s="11">
        <v>43916</v>
      </c>
      <c r="B74" t="s">
        <v>63</v>
      </c>
      <c r="C74">
        <v>36</v>
      </c>
      <c r="D74" t="s">
        <v>14</v>
      </c>
      <c r="E74" t="s">
        <v>68</v>
      </c>
      <c r="F74" t="s">
        <v>29</v>
      </c>
      <c r="G74">
        <v>3</v>
      </c>
      <c r="H74">
        <v>2020</v>
      </c>
    </row>
    <row r="75" spans="1:8" x14ac:dyDescent="0.25">
      <c r="A75" s="11">
        <v>43920</v>
      </c>
      <c r="B75" t="s">
        <v>66</v>
      </c>
      <c r="C75">
        <v>565</v>
      </c>
      <c r="D75" t="s">
        <v>18</v>
      </c>
      <c r="E75" t="s">
        <v>68</v>
      </c>
      <c r="F75" t="s">
        <v>29</v>
      </c>
      <c r="G75">
        <v>3</v>
      </c>
      <c r="H75">
        <v>2020</v>
      </c>
    </row>
    <row r="76" spans="1:8" x14ac:dyDescent="0.25">
      <c r="A76" s="11">
        <v>43920</v>
      </c>
      <c r="B76" t="s">
        <v>75</v>
      </c>
      <c r="C76">
        <v>50</v>
      </c>
      <c r="D76" t="s">
        <v>19</v>
      </c>
      <c r="E76" t="s">
        <v>68</v>
      </c>
      <c r="F76" t="s">
        <v>29</v>
      </c>
      <c r="G76">
        <v>3</v>
      </c>
      <c r="H76">
        <v>2020</v>
      </c>
    </row>
    <row r="77" spans="1:8" x14ac:dyDescent="0.25">
      <c r="A77"/>
      <c r="B77"/>
      <c r="C77"/>
      <c r="D77"/>
      <c r="E77"/>
      <c r="F77"/>
    </row>
    <row r="78" spans="1:8" x14ac:dyDescent="0.25">
      <c r="A78"/>
      <c r="B78"/>
      <c r="C78"/>
      <c r="D78"/>
      <c r="E78"/>
      <c r="F78"/>
    </row>
    <row r="79" spans="1:8" x14ac:dyDescent="0.25">
      <c r="A79"/>
      <c r="B79"/>
      <c r="C79"/>
      <c r="D79"/>
      <c r="E79"/>
      <c r="F79"/>
    </row>
    <row r="80" spans="1:8" x14ac:dyDescent="0.25">
      <c r="A80"/>
      <c r="B80"/>
      <c r="C80"/>
      <c r="D80"/>
      <c r="E80"/>
      <c r="F80"/>
    </row>
    <row r="81" spans="1:6" x14ac:dyDescent="0.25">
      <c r="A81"/>
      <c r="B81"/>
      <c r="C81"/>
      <c r="D81"/>
      <c r="E81"/>
      <c r="F81"/>
    </row>
    <row r="82" spans="1:6" x14ac:dyDescent="0.25">
      <c r="A82"/>
      <c r="B82"/>
      <c r="C82"/>
      <c r="D82"/>
      <c r="E82"/>
      <c r="F82"/>
    </row>
    <row r="83" spans="1:6" x14ac:dyDescent="0.25">
      <c r="A83"/>
      <c r="B83"/>
      <c r="C83"/>
      <c r="D83"/>
      <c r="E83"/>
      <c r="F83"/>
    </row>
    <row r="84" spans="1:6" x14ac:dyDescent="0.25">
      <c r="A84"/>
      <c r="B84"/>
      <c r="C84"/>
      <c r="D84"/>
      <c r="E84"/>
      <c r="F84"/>
    </row>
    <row r="85" spans="1:6" x14ac:dyDescent="0.25">
      <c r="A85"/>
      <c r="B85"/>
      <c r="C85"/>
      <c r="D85"/>
      <c r="E85"/>
      <c r="F85"/>
    </row>
    <row r="86" spans="1:6" x14ac:dyDescent="0.25">
      <c r="A86"/>
      <c r="B86"/>
      <c r="C86"/>
      <c r="D86"/>
      <c r="E86"/>
      <c r="F86"/>
    </row>
    <row r="87" spans="1:6" x14ac:dyDescent="0.25">
      <c r="A87"/>
      <c r="B87"/>
      <c r="C87"/>
      <c r="D87"/>
      <c r="E87"/>
      <c r="F87"/>
    </row>
    <row r="88" spans="1:6" x14ac:dyDescent="0.25">
      <c r="A88"/>
      <c r="B88"/>
      <c r="C88"/>
      <c r="D88"/>
      <c r="E88"/>
      <c r="F88"/>
    </row>
    <row r="89" spans="1:6" x14ac:dyDescent="0.25">
      <c r="A89"/>
      <c r="B89"/>
      <c r="C89"/>
      <c r="D89"/>
      <c r="E89"/>
      <c r="F89"/>
    </row>
    <row r="90" spans="1:6" x14ac:dyDescent="0.25">
      <c r="A90"/>
      <c r="B90"/>
      <c r="C90"/>
      <c r="D90"/>
      <c r="E90"/>
      <c r="F90"/>
    </row>
    <row r="91" spans="1:6" x14ac:dyDescent="0.25">
      <c r="A91"/>
      <c r="B91"/>
      <c r="C91"/>
      <c r="D91"/>
      <c r="E91"/>
      <c r="F91"/>
    </row>
    <row r="92" spans="1:6" x14ac:dyDescent="0.25">
      <c r="A92"/>
      <c r="B92"/>
      <c r="C92"/>
      <c r="D92"/>
      <c r="E92"/>
      <c r="F92"/>
    </row>
    <row r="93" spans="1:6" x14ac:dyDescent="0.25">
      <c r="A93"/>
      <c r="B93"/>
      <c r="C93"/>
      <c r="D93"/>
      <c r="E93"/>
      <c r="F93"/>
    </row>
    <row r="94" spans="1:6" x14ac:dyDescent="0.25">
      <c r="A94"/>
      <c r="B94"/>
      <c r="C94"/>
      <c r="D94"/>
      <c r="E94"/>
      <c r="F94"/>
    </row>
    <row r="95" spans="1:6" x14ac:dyDescent="0.25">
      <c r="A95"/>
      <c r="B95"/>
      <c r="C95"/>
      <c r="D95"/>
      <c r="E95"/>
      <c r="F95"/>
    </row>
    <row r="96" spans="1:6" x14ac:dyDescent="0.25">
      <c r="A96"/>
      <c r="B96"/>
      <c r="C96"/>
      <c r="D96"/>
      <c r="E96"/>
      <c r="F96"/>
    </row>
    <row r="97" spans="1:6" x14ac:dyDescent="0.25">
      <c r="A97"/>
      <c r="B97"/>
      <c r="C97"/>
      <c r="D97"/>
      <c r="E97"/>
      <c r="F97"/>
    </row>
    <row r="98" spans="1:6" x14ac:dyDescent="0.25">
      <c r="A98"/>
      <c r="B98"/>
      <c r="C98"/>
      <c r="D98"/>
      <c r="E98"/>
      <c r="F98"/>
    </row>
    <row r="99" spans="1:6" x14ac:dyDescent="0.25">
      <c r="A99"/>
      <c r="B99"/>
      <c r="C99"/>
      <c r="D99"/>
      <c r="E99"/>
      <c r="F99"/>
    </row>
    <row r="100" spans="1:6" x14ac:dyDescent="0.25">
      <c r="A100"/>
      <c r="B100"/>
      <c r="C100"/>
      <c r="D100"/>
      <c r="E100"/>
      <c r="F100"/>
    </row>
    <row r="101" spans="1:6" x14ac:dyDescent="0.25">
      <c r="A101"/>
      <c r="B101"/>
      <c r="C101"/>
      <c r="D101"/>
      <c r="E101"/>
      <c r="F101"/>
    </row>
    <row r="102" spans="1:6" x14ac:dyDescent="0.25">
      <c r="A102"/>
      <c r="B102"/>
      <c r="C102"/>
      <c r="D102"/>
      <c r="E102"/>
      <c r="F102"/>
    </row>
    <row r="103" spans="1:6" x14ac:dyDescent="0.25">
      <c r="A103"/>
      <c r="B103"/>
      <c r="C103"/>
      <c r="D103"/>
      <c r="E103"/>
      <c r="F103"/>
    </row>
    <row r="104" spans="1:6" x14ac:dyDescent="0.25">
      <c r="A104"/>
      <c r="B104"/>
      <c r="C104"/>
      <c r="D104"/>
      <c r="E104"/>
      <c r="F104"/>
    </row>
    <row r="105" spans="1:6" x14ac:dyDescent="0.25">
      <c r="A105"/>
      <c r="B105"/>
      <c r="C105"/>
      <c r="D105"/>
      <c r="E105"/>
      <c r="F105"/>
    </row>
    <row r="106" spans="1:6" x14ac:dyDescent="0.25">
      <c r="A106"/>
      <c r="B106"/>
      <c r="C106"/>
      <c r="D106"/>
      <c r="E106"/>
      <c r="F106"/>
    </row>
    <row r="107" spans="1:6" x14ac:dyDescent="0.25">
      <c r="A107"/>
      <c r="B107"/>
      <c r="C107"/>
      <c r="D107"/>
      <c r="E107"/>
      <c r="F107"/>
    </row>
    <row r="108" spans="1:6" x14ac:dyDescent="0.25">
      <c r="A108"/>
      <c r="B108"/>
      <c r="C108"/>
      <c r="D108"/>
      <c r="E108"/>
      <c r="F108"/>
    </row>
    <row r="109" spans="1:6" x14ac:dyDescent="0.25">
      <c r="A109"/>
      <c r="B109"/>
      <c r="C109"/>
      <c r="D109"/>
      <c r="E109"/>
      <c r="F109"/>
    </row>
    <row r="110" spans="1:6" x14ac:dyDescent="0.25">
      <c r="A110"/>
      <c r="B110"/>
      <c r="C110"/>
      <c r="D110"/>
      <c r="E110"/>
      <c r="F110"/>
    </row>
    <row r="111" spans="1:6" x14ac:dyDescent="0.25">
      <c r="A111"/>
      <c r="B111"/>
      <c r="C111"/>
      <c r="D111"/>
      <c r="E111"/>
      <c r="F111"/>
    </row>
    <row r="112" spans="1:6" x14ac:dyDescent="0.25">
      <c r="A112"/>
      <c r="B112"/>
      <c r="C112"/>
      <c r="D112"/>
      <c r="E112"/>
      <c r="F112"/>
    </row>
    <row r="113" spans="1:6" x14ac:dyDescent="0.25">
      <c r="A113"/>
      <c r="B113"/>
      <c r="C113"/>
      <c r="D113"/>
      <c r="E113"/>
      <c r="F113"/>
    </row>
    <row r="114" spans="1:6" x14ac:dyDescent="0.25">
      <c r="A114"/>
      <c r="B114"/>
      <c r="C114"/>
      <c r="D114"/>
      <c r="E114"/>
      <c r="F114"/>
    </row>
    <row r="115" spans="1:6" x14ac:dyDescent="0.25">
      <c r="A115"/>
      <c r="B115"/>
      <c r="C115"/>
      <c r="D115"/>
      <c r="E115"/>
      <c r="F115"/>
    </row>
    <row r="116" spans="1:6" x14ac:dyDescent="0.25">
      <c r="A116"/>
      <c r="B116"/>
      <c r="C116"/>
      <c r="D116"/>
      <c r="E116"/>
      <c r="F116"/>
    </row>
    <row r="117" spans="1:6" x14ac:dyDescent="0.25">
      <c r="A117"/>
      <c r="B117"/>
      <c r="C117"/>
      <c r="D117"/>
      <c r="E117"/>
      <c r="F117"/>
    </row>
    <row r="118" spans="1:6" x14ac:dyDescent="0.25">
      <c r="A118"/>
      <c r="B118"/>
      <c r="C118"/>
      <c r="D118"/>
      <c r="E118"/>
      <c r="F118"/>
    </row>
    <row r="119" spans="1:6" x14ac:dyDescent="0.25">
      <c r="A119"/>
      <c r="B119"/>
      <c r="C119"/>
      <c r="D119"/>
      <c r="E119"/>
      <c r="F119"/>
    </row>
    <row r="120" spans="1:6" x14ac:dyDescent="0.25">
      <c r="A120"/>
      <c r="B120"/>
      <c r="C120"/>
      <c r="D120"/>
      <c r="E120"/>
      <c r="F120"/>
    </row>
    <row r="121" spans="1:6" x14ac:dyDescent="0.25">
      <c r="A121"/>
      <c r="B121"/>
      <c r="C121"/>
      <c r="D121"/>
      <c r="E121"/>
      <c r="F121"/>
    </row>
  </sheetData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DA543E-5E7E-4DFA-B45C-EAE2749E0D3A}">
          <x14:formula1>
            <xm:f>'Lista Suspensa'!$A$2:$A$7</xm:f>
          </x14:formula1>
          <xm:sqref>D122:D1048576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AE2CF-8CD8-443E-B132-2CFAE2D2FF1A}">
  <sheetPr codeName="Planilha4"/>
  <dimension ref="A1:A7"/>
  <sheetViews>
    <sheetView workbookViewId="0">
      <selection activeCell="B2" sqref="B2"/>
    </sheetView>
  </sheetViews>
  <sheetFormatPr defaultRowHeight="15" x14ac:dyDescent="0.25"/>
  <cols>
    <col min="1" max="1" width="13.85546875" bestFit="1" customWidth="1"/>
  </cols>
  <sheetData>
    <row r="1" spans="1:1" x14ac:dyDescent="0.25">
      <c r="A1" t="s">
        <v>12</v>
      </c>
    </row>
    <row r="3" spans="1:1" x14ac:dyDescent="0.25">
      <c r="A3" s="4" t="s">
        <v>4</v>
      </c>
    </row>
    <row r="4" spans="1:1" x14ac:dyDescent="0.25">
      <c r="A4" s="4" t="s">
        <v>5</v>
      </c>
    </row>
    <row r="5" spans="1:1" x14ac:dyDescent="0.25">
      <c r="A5" s="4" t="s">
        <v>6</v>
      </c>
    </row>
    <row r="6" spans="1:1" x14ac:dyDescent="0.25">
      <c r="A6" s="4" t="s">
        <v>7</v>
      </c>
    </row>
    <row r="7" spans="1:1" x14ac:dyDescent="0.25">
      <c r="A7" s="4" t="s">
        <v>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F48A5-09FB-4FCB-B258-76F447254E5E}">
  <sheetPr codeName="Planilha3"/>
  <dimension ref="A1:A2"/>
  <sheetViews>
    <sheetView workbookViewId="0">
      <selection sqref="A1:A1048575"/>
    </sheetView>
  </sheetViews>
  <sheetFormatPr defaultRowHeight="15" x14ac:dyDescent="0.25"/>
  <cols>
    <col min="1" max="1" width="74.42578125" bestFit="1" customWidth="1"/>
    <col min="2" max="2" width="20.85546875" bestFit="1" customWidth="1"/>
    <col min="3" max="3" width="8" bestFit="1" customWidth="1"/>
    <col min="4" max="4" width="11.5703125" bestFit="1" customWidth="1"/>
    <col min="5" max="5" width="11" bestFit="1" customWidth="1"/>
    <col min="6" max="6" width="9.85546875" bestFit="1" customWidth="1"/>
  </cols>
  <sheetData>
    <row r="1" spans="1:1" x14ac:dyDescent="0.25">
      <c r="A1">
        <v>1</v>
      </c>
    </row>
    <row r="2" spans="1:1" x14ac:dyDescent="0.25">
      <c r="A2">
        <v>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10</vt:i4>
      </vt:variant>
    </vt:vector>
  </HeadingPairs>
  <TitlesOfParts>
    <vt:vector size="14" baseType="lpstr">
      <vt:lpstr>Principal</vt:lpstr>
      <vt:lpstr>Historico</vt:lpstr>
      <vt:lpstr>Lista Suspensa</vt:lpstr>
      <vt:lpstr>Auxiliar</vt:lpstr>
      <vt:lpstr>ano_analisado</vt:lpstr>
      <vt:lpstr>coluna_bradesco_cru</vt:lpstr>
      <vt:lpstr>data_extracao</vt:lpstr>
      <vt:lpstr>mes_analisado</vt:lpstr>
      <vt:lpstr>rng_ano</vt:lpstr>
      <vt:lpstr>rng_categoria</vt:lpstr>
      <vt:lpstr>rng_extracao</vt:lpstr>
      <vt:lpstr>rng_mes</vt:lpstr>
      <vt:lpstr>rng_valor</vt:lpstr>
      <vt:lpstr>total_meses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</dc:creator>
  <cp:lastModifiedBy>Guilherme</cp:lastModifiedBy>
  <dcterms:created xsi:type="dcterms:W3CDTF">2020-10-01T00:40:47Z</dcterms:created>
  <dcterms:modified xsi:type="dcterms:W3CDTF">2020-10-08T11:10:03Z</dcterms:modified>
</cp:coreProperties>
</file>